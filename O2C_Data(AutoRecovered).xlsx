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hanakya\Downloads\Projects\"/>
    </mc:Choice>
  </mc:AlternateContent>
  <xr:revisionPtr revIDLastSave="0" documentId="8_{E5F29B77-A49E-4FAC-98FF-D0B342A7C8DD}" xr6:coauthVersionLast="47" xr6:coauthVersionMax="47" xr10:uidLastSave="{00000000-0000-0000-0000-000000000000}"/>
  <bookViews>
    <workbookView xWindow="-108" yWindow="-108" windowWidth="23256" windowHeight="12456" activeTab="3" xr2:uid="{00000000-000D-0000-FFFF-FFFF00000000}"/>
  </bookViews>
  <sheets>
    <sheet name="Pivot" sheetId="3" r:id="rId1"/>
    <sheet name="O2C_Data" sheetId="1" r:id="rId2"/>
    <sheet name="Dashboard" sheetId="4" r:id="rId3"/>
    <sheet name="KPI" sheetId="2" r:id="rId4"/>
  </sheets>
  <definedNames>
    <definedName name="_xlnm._FilterDatabase" localSheetId="1" hidden="1">O2C_Data!$A$1:$K$1001</definedName>
    <definedName name="_xlcn.WorksheetConnection_O2C_DataA1O1001" hidden="1">O2C_Data!$A$1:$O$1001</definedName>
    <definedName name="Slicer_Customer">#N/A</definedName>
    <definedName name="Slicer_OrderDate">#N/A</definedName>
    <definedName name="Slicer_Region">#N/A</definedName>
    <definedName name="Slicer_Status">#N/A</definedName>
  </definedNames>
  <calcPr calcId="191029"/>
  <pivotCaches>
    <pivotCache cacheId="8" r:id="rId5"/>
    <pivotCache cacheId="37" r:id="rId6"/>
  </pivotCaches>
  <fileRecoveryPr repairLoad="1"/>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O2C_Data!$A$1:$O$100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2" i="1"/>
  <c r="B4" i="2"/>
  <c r="C4" i="2"/>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 r="M2" i="1"/>
  <c r="O2" i="1" s="1"/>
  <c r="M4" i="1"/>
  <c r="O4" i="1" s="1"/>
  <c r="M5" i="1"/>
  <c r="O5" i="1" s="1"/>
  <c r="M6" i="1"/>
  <c r="O6" i="1" s="1"/>
  <c r="M7" i="1"/>
  <c r="O7" i="1" s="1"/>
  <c r="M8" i="1"/>
  <c r="O8" i="1" s="1"/>
  <c r="M9" i="1"/>
  <c r="O9" i="1" s="1"/>
  <c r="M10" i="1"/>
  <c r="O10" i="1" s="1"/>
  <c r="M11" i="1"/>
  <c r="O11" i="1" s="1"/>
  <c r="M12" i="1"/>
  <c r="O12" i="1" s="1"/>
  <c r="M13" i="1"/>
  <c r="O13" i="1" s="1"/>
  <c r="M14" i="1"/>
  <c r="O14" i="1" s="1"/>
  <c r="M15" i="1"/>
  <c r="O15" i="1" s="1"/>
  <c r="M16" i="1"/>
  <c r="O16" i="1" s="1"/>
  <c r="M17" i="1"/>
  <c r="O17" i="1" s="1"/>
  <c r="M18" i="1"/>
  <c r="O18" i="1" s="1"/>
  <c r="M19" i="1"/>
  <c r="O19" i="1" s="1"/>
  <c r="M20" i="1"/>
  <c r="O20" i="1" s="1"/>
  <c r="M21" i="1"/>
  <c r="O21" i="1" s="1"/>
  <c r="M22" i="1"/>
  <c r="O22" i="1" s="1"/>
  <c r="M23" i="1"/>
  <c r="O23" i="1" s="1"/>
  <c r="M24" i="1"/>
  <c r="O24" i="1" s="1"/>
  <c r="M25" i="1"/>
  <c r="O25" i="1" s="1"/>
  <c r="M26" i="1"/>
  <c r="O26" i="1" s="1"/>
  <c r="M27" i="1"/>
  <c r="O27" i="1" s="1"/>
  <c r="M28" i="1"/>
  <c r="O28" i="1" s="1"/>
  <c r="M29" i="1"/>
  <c r="O29" i="1" s="1"/>
  <c r="M30" i="1"/>
  <c r="O30" i="1" s="1"/>
  <c r="M31" i="1"/>
  <c r="O31" i="1" s="1"/>
  <c r="M32" i="1"/>
  <c r="O32" i="1" s="1"/>
  <c r="M33" i="1"/>
  <c r="O33" i="1" s="1"/>
  <c r="M34" i="1"/>
  <c r="O34" i="1" s="1"/>
  <c r="M35" i="1"/>
  <c r="O35" i="1" s="1"/>
  <c r="M36" i="1"/>
  <c r="O36" i="1" s="1"/>
  <c r="M37" i="1"/>
  <c r="O37" i="1" s="1"/>
  <c r="M38" i="1"/>
  <c r="O38" i="1" s="1"/>
  <c r="M39" i="1"/>
  <c r="O39" i="1" s="1"/>
  <c r="M40" i="1"/>
  <c r="O40" i="1" s="1"/>
  <c r="M41" i="1"/>
  <c r="O41" i="1" s="1"/>
  <c r="M42" i="1"/>
  <c r="O42" i="1" s="1"/>
  <c r="M43" i="1"/>
  <c r="O43" i="1" s="1"/>
  <c r="M44" i="1"/>
  <c r="O44" i="1" s="1"/>
  <c r="M45" i="1"/>
  <c r="O45" i="1" s="1"/>
  <c r="M46" i="1"/>
  <c r="O46" i="1" s="1"/>
  <c r="M47" i="1"/>
  <c r="O47" i="1" s="1"/>
  <c r="M48" i="1"/>
  <c r="O48" i="1" s="1"/>
  <c r="M49" i="1"/>
  <c r="O49" i="1" s="1"/>
  <c r="M50" i="1"/>
  <c r="O50" i="1" s="1"/>
  <c r="M51" i="1"/>
  <c r="O51" i="1" s="1"/>
  <c r="M52" i="1"/>
  <c r="O52" i="1" s="1"/>
  <c r="M53" i="1"/>
  <c r="O53" i="1" s="1"/>
  <c r="M54" i="1"/>
  <c r="O54" i="1" s="1"/>
  <c r="M55" i="1"/>
  <c r="O55" i="1" s="1"/>
  <c r="M56" i="1"/>
  <c r="O56" i="1" s="1"/>
  <c r="M57" i="1"/>
  <c r="O57" i="1" s="1"/>
  <c r="M58" i="1"/>
  <c r="O58" i="1" s="1"/>
  <c r="M59" i="1"/>
  <c r="O59" i="1" s="1"/>
  <c r="M60" i="1"/>
  <c r="O60" i="1" s="1"/>
  <c r="M61" i="1"/>
  <c r="O61" i="1" s="1"/>
  <c r="M62" i="1"/>
  <c r="O62" i="1" s="1"/>
  <c r="M63" i="1"/>
  <c r="O63" i="1" s="1"/>
  <c r="M64" i="1"/>
  <c r="O64" i="1" s="1"/>
  <c r="M65" i="1"/>
  <c r="O65" i="1" s="1"/>
  <c r="M66" i="1"/>
  <c r="O66" i="1" s="1"/>
  <c r="M67" i="1"/>
  <c r="O67" i="1" s="1"/>
  <c r="M68" i="1"/>
  <c r="O68" i="1" s="1"/>
  <c r="M69" i="1"/>
  <c r="O69" i="1" s="1"/>
  <c r="M70" i="1"/>
  <c r="O70" i="1" s="1"/>
  <c r="M71" i="1"/>
  <c r="O71" i="1" s="1"/>
  <c r="M72" i="1"/>
  <c r="O72" i="1" s="1"/>
  <c r="M73" i="1"/>
  <c r="O73" i="1" s="1"/>
  <c r="M74" i="1"/>
  <c r="O74" i="1" s="1"/>
  <c r="M75" i="1"/>
  <c r="O75" i="1" s="1"/>
  <c r="M76" i="1"/>
  <c r="O76" i="1" s="1"/>
  <c r="M77" i="1"/>
  <c r="O77" i="1" s="1"/>
  <c r="M78" i="1"/>
  <c r="O78" i="1" s="1"/>
  <c r="M79" i="1"/>
  <c r="O79" i="1" s="1"/>
  <c r="M80" i="1"/>
  <c r="O80" i="1" s="1"/>
  <c r="M81" i="1"/>
  <c r="O81" i="1" s="1"/>
  <c r="M82" i="1"/>
  <c r="O82" i="1" s="1"/>
  <c r="M83" i="1"/>
  <c r="O83" i="1" s="1"/>
  <c r="M84" i="1"/>
  <c r="O84" i="1" s="1"/>
  <c r="M85" i="1"/>
  <c r="O85" i="1" s="1"/>
  <c r="M86" i="1"/>
  <c r="O86" i="1" s="1"/>
  <c r="M87" i="1"/>
  <c r="O87" i="1" s="1"/>
  <c r="M88" i="1"/>
  <c r="O88" i="1" s="1"/>
  <c r="M89" i="1"/>
  <c r="O89" i="1" s="1"/>
  <c r="M90" i="1"/>
  <c r="O90" i="1" s="1"/>
  <c r="M91" i="1"/>
  <c r="O91" i="1" s="1"/>
  <c r="M92" i="1"/>
  <c r="O92" i="1" s="1"/>
  <c r="M93" i="1"/>
  <c r="O93" i="1" s="1"/>
  <c r="M94" i="1"/>
  <c r="O94" i="1" s="1"/>
  <c r="M95" i="1"/>
  <c r="O95" i="1" s="1"/>
  <c r="M96" i="1"/>
  <c r="O96" i="1" s="1"/>
  <c r="M97" i="1"/>
  <c r="O97" i="1" s="1"/>
  <c r="M98" i="1"/>
  <c r="O98" i="1" s="1"/>
  <c r="M99" i="1"/>
  <c r="O99" i="1" s="1"/>
  <c r="M100" i="1"/>
  <c r="O100" i="1" s="1"/>
  <c r="M101" i="1"/>
  <c r="O101" i="1" s="1"/>
  <c r="M102" i="1"/>
  <c r="O102" i="1" s="1"/>
  <c r="M103" i="1"/>
  <c r="O103" i="1" s="1"/>
  <c r="M104" i="1"/>
  <c r="O104" i="1" s="1"/>
  <c r="M105" i="1"/>
  <c r="O105" i="1" s="1"/>
  <c r="M106" i="1"/>
  <c r="O106" i="1" s="1"/>
  <c r="M107" i="1"/>
  <c r="O107" i="1" s="1"/>
  <c r="M108" i="1"/>
  <c r="O108" i="1" s="1"/>
  <c r="M109" i="1"/>
  <c r="O109" i="1" s="1"/>
  <c r="M110" i="1"/>
  <c r="O110" i="1" s="1"/>
  <c r="M111" i="1"/>
  <c r="O111" i="1" s="1"/>
  <c r="M112" i="1"/>
  <c r="O112" i="1" s="1"/>
  <c r="M113" i="1"/>
  <c r="O113" i="1" s="1"/>
  <c r="M114" i="1"/>
  <c r="O114" i="1" s="1"/>
  <c r="M115" i="1"/>
  <c r="O115" i="1" s="1"/>
  <c r="M116" i="1"/>
  <c r="O116" i="1" s="1"/>
  <c r="M117" i="1"/>
  <c r="O117" i="1" s="1"/>
  <c r="M118" i="1"/>
  <c r="O118" i="1" s="1"/>
  <c r="M119" i="1"/>
  <c r="O119" i="1" s="1"/>
  <c r="M120" i="1"/>
  <c r="O120" i="1" s="1"/>
  <c r="M121" i="1"/>
  <c r="O121" i="1" s="1"/>
  <c r="M122" i="1"/>
  <c r="O122" i="1" s="1"/>
  <c r="M123" i="1"/>
  <c r="O123" i="1" s="1"/>
  <c r="M124" i="1"/>
  <c r="O124" i="1" s="1"/>
  <c r="M125" i="1"/>
  <c r="O125" i="1" s="1"/>
  <c r="M126" i="1"/>
  <c r="O126" i="1" s="1"/>
  <c r="M127" i="1"/>
  <c r="O127" i="1" s="1"/>
  <c r="M128" i="1"/>
  <c r="O128" i="1" s="1"/>
  <c r="M129" i="1"/>
  <c r="O129" i="1" s="1"/>
  <c r="M130" i="1"/>
  <c r="O130" i="1" s="1"/>
  <c r="M131" i="1"/>
  <c r="O131" i="1" s="1"/>
  <c r="M132" i="1"/>
  <c r="O132" i="1" s="1"/>
  <c r="M133" i="1"/>
  <c r="O133" i="1" s="1"/>
  <c r="M134" i="1"/>
  <c r="O134" i="1" s="1"/>
  <c r="M135" i="1"/>
  <c r="O135" i="1" s="1"/>
  <c r="M136" i="1"/>
  <c r="O136" i="1" s="1"/>
  <c r="M137" i="1"/>
  <c r="O137" i="1" s="1"/>
  <c r="M138" i="1"/>
  <c r="O138" i="1" s="1"/>
  <c r="M139" i="1"/>
  <c r="O139" i="1" s="1"/>
  <c r="M140" i="1"/>
  <c r="O140" i="1" s="1"/>
  <c r="M141" i="1"/>
  <c r="O141" i="1" s="1"/>
  <c r="M142" i="1"/>
  <c r="O142" i="1" s="1"/>
  <c r="M143" i="1"/>
  <c r="O143" i="1" s="1"/>
  <c r="M144" i="1"/>
  <c r="O144" i="1" s="1"/>
  <c r="M145" i="1"/>
  <c r="O145" i="1" s="1"/>
  <c r="M146" i="1"/>
  <c r="O146" i="1" s="1"/>
  <c r="M147" i="1"/>
  <c r="O147" i="1" s="1"/>
  <c r="M148" i="1"/>
  <c r="O148" i="1" s="1"/>
  <c r="M149" i="1"/>
  <c r="O149" i="1" s="1"/>
  <c r="M150" i="1"/>
  <c r="O150" i="1" s="1"/>
  <c r="M151" i="1"/>
  <c r="O151" i="1" s="1"/>
  <c r="M152" i="1"/>
  <c r="O152" i="1" s="1"/>
  <c r="M153" i="1"/>
  <c r="O153" i="1" s="1"/>
  <c r="M154" i="1"/>
  <c r="O154" i="1" s="1"/>
  <c r="M155" i="1"/>
  <c r="O155" i="1" s="1"/>
  <c r="M156" i="1"/>
  <c r="O156" i="1" s="1"/>
  <c r="M157" i="1"/>
  <c r="O157" i="1" s="1"/>
  <c r="M158" i="1"/>
  <c r="O158" i="1" s="1"/>
  <c r="M159" i="1"/>
  <c r="O159" i="1" s="1"/>
  <c r="M160" i="1"/>
  <c r="O160" i="1" s="1"/>
  <c r="M161" i="1"/>
  <c r="O161" i="1" s="1"/>
  <c r="M162" i="1"/>
  <c r="O162" i="1" s="1"/>
  <c r="M163" i="1"/>
  <c r="O163" i="1" s="1"/>
  <c r="M164" i="1"/>
  <c r="O164" i="1" s="1"/>
  <c r="M165" i="1"/>
  <c r="O165" i="1" s="1"/>
  <c r="M166" i="1"/>
  <c r="O166" i="1" s="1"/>
  <c r="M167" i="1"/>
  <c r="O167" i="1" s="1"/>
  <c r="M168" i="1"/>
  <c r="O168" i="1" s="1"/>
  <c r="M169" i="1"/>
  <c r="O169" i="1" s="1"/>
  <c r="M170" i="1"/>
  <c r="O170" i="1" s="1"/>
  <c r="M171" i="1"/>
  <c r="O171" i="1" s="1"/>
  <c r="M172" i="1"/>
  <c r="O172" i="1" s="1"/>
  <c r="M173" i="1"/>
  <c r="O173" i="1" s="1"/>
  <c r="M174" i="1"/>
  <c r="O174" i="1" s="1"/>
  <c r="M175" i="1"/>
  <c r="O175" i="1" s="1"/>
  <c r="M176" i="1"/>
  <c r="O176" i="1" s="1"/>
  <c r="M177" i="1"/>
  <c r="O177" i="1" s="1"/>
  <c r="M178" i="1"/>
  <c r="O178" i="1" s="1"/>
  <c r="M179" i="1"/>
  <c r="O179" i="1" s="1"/>
  <c r="M180" i="1"/>
  <c r="O180" i="1" s="1"/>
  <c r="M181" i="1"/>
  <c r="O181" i="1" s="1"/>
  <c r="M182" i="1"/>
  <c r="O182" i="1" s="1"/>
  <c r="M183" i="1"/>
  <c r="O183" i="1" s="1"/>
  <c r="M184" i="1"/>
  <c r="O184" i="1" s="1"/>
  <c r="M185" i="1"/>
  <c r="O185" i="1" s="1"/>
  <c r="M186" i="1"/>
  <c r="O186" i="1" s="1"/>
  <c r="M187" i="1"/>
  <c r="O187" i="1" s="1"/>
  <c r="M188" i="1"/>
  <c r="O188" i="1" s="1"/>
  <c r="M189" i="1"/>
  <c r="O189" i="1" s="1"/>
  <c r="M190" i="1"/>
  <c r="O190" i="1" s="1"/>
  <c r="M191" i="1"/>
  <c r="O191" i="1" s="1"/>
  <c r="M192" i="1"/>
  <c r="O192" i="1" s="1"/>
  <c r="M193" i="1"/>
  <c r="O193" i="1" s="1"/>
  <c r="M194" i="1"/>
  <c r="O194" i="1" s="1"/>
  <c r="M195" i="1"/>
  <c r="O195" i="1" s="1"/>
  <c r="M196" i="1"/>
  <c r="O196" i="1" s="1"/>
  <c r="M197" i="1"/>
  <c r="O197" i="1" s="1"/>
  <c r="M198" i="1"/>
  <c r="O198" i="1" s="1"/>
  <c r="M199" i="1"/>
  <c r="O199" i="1" s="1"/>
  <c r="M200" i="1"/>
  <c r="O200" i="1" s="1"/>
  <c r="M201" i="1"/>
  <c r="O201" i="1" s="1"/>
  <c r="M202" i="1"/>
  <c r="O202" i="1" s="1"/>
  <c r="M203" i="1"/>
  <c r="O203" i="1" s="1"/>
  <c r="M204" i="1"/>
  <c r="O204" i="1" s="1"/>
  <c r="M205" i="1"/>
  <c r="O205" i="1" s="1"/>
  <c r="M206" i="1"/>
  <c r="O206" i="1" s="1"/>
  <c r="M207" i="1"/>
  <c r="O207" i="1" s="1"/>
  <c r="M208" i="1"/>
  <c r="O208" i="1" s="1"/>
  <c r="M209" i="1"/>
  <c r="O209" i="1" s="1"/>
  <c r="M210" i="1"/>
  <c r="O210" i="1" s="1"/>
  <c r="M211" i="1"/>
  <c r="O211" i="1" s="1"/>
  <c r="M212" i="1"/>
  <c r="O212" i="1" s="1"/>
  <c r="M213" i="1"/>
  <c r="O213" i="1" s="1"/>
  <c r="M214" i="1"/>
  <c r="O214" i="1" s="1"/>
  <c r="M215" i="1"/>
  <c r="O215" i="1" s="1"/>
  <c r="M216" i="1"/>
  <c r="O216" i="1" s="1"/>
  <c r="M217" i="1"/>
  <c r="O217" i="1" s="1"/>
  <c r="M218" i="1"/>
  <c r="O218" i="1" s="1"/>
  <c r="M219" i="1"/>
  <c r="O219" i="1" s="1"/>
  <c r="M220" i="1"/>
  <c r="O220" i="1" s="1"/>
  <c r="M221" i="1"/>
  <c r="O221" i="1" s="1"/>
  <c r="M222" i="1"/>
  <c r="O222" i="1" s="1"/>
  <c r="M223" i="1"/>
  <c r="O223" i="1" s="1"/>
  <c r="M224" i="1"/>
  <c r="O224" i="1" s="1"/>
  <c r="M225" i="1"/>
  <c r="O225" i="1" s="1"/>
  <c r="M226" i="1"/>
  <c r="O226" i="1" s="1"/>
  <c r="M227" i="1"/>
  <c r="O227" i="1" s="1"/>
  <c r="M228" i="1"/>
  <c r="O228" i="1" s="1"/>
  <c r="M229" i="1"/>
  <c r="O229" i="1" s="1"/>
  <c r="M230" i="1"/>
  <c r="O230" i="1" s="1"/>
  <c r="M231" i="1"/>
  <c r="O231" i="1" s="1"/>
  <c r="M232" i="1"/>
  <c r="O232" i="1" s="1"/>
  <c r="M233" i="1"/>
  <c r="O233" i="1" s="1"/>
  <c r="M234" i="1"/>
  <c r="O234" i="1" s="1"/>
  <c r="M235" i="1"/>
  <c r="O235" i="1" s="1"/>
  <c r="M236" i="1"/>
  <c r="O236" i="1" s="1"/>
  <c r="M237" i="1"/>
  <c r="O237" i="1" s="1"/>
  <c r="M238" i="1"/>
  <c r="O238" i="1" s="1"/>
  <c r="M239" i="1"/>
  <c r="O239" i="1" s="1"/>
  <c r="M240" i="1"/>
  <c r="O240" i="1" s="1"/>
  <c r="M241" i="1"/>
  <c r="O241" i="1" s="1"/>
  <c r="M242" i="1"/>
  <c r="O242" i="1" s="1"/>
  <c r="M243" i="1"/>
  <c r="O243" i="1" s="1"/>
  <c r="M244" i="1"/>
  <c r="O244" i="1" s="1"/>
  <c r="M245" i="1"/>
  <c r="O245" i="1" s="1"/>
  <c r="M246" i="1"/>
  <c r="O246" i="1" s="1"/>
  <c r="M247" i="1"/>
  <c r="O247" i="1" s="1"/>
  <c r="M248" i="1"/>
  <c r="O248" i="1" s="1"/>
  <c r="M249" i="1"/>
  <c r="O249" i="1" s="1"/>
  <c r="M250" i="1"/>
  <c r="O250" i="1" s="1"/>
  <c r="M251" i="1"/>
  <c r="O251" i="1" s="1"/>
  <c r="M252" i="1"/>
  <c r="O252" i="1" s="1"/>
  <c r="M253" i="1"/>
  <c r="O253" i="1" s="1"/>
  <c r="M254" i="1"/>
  <c r="O254" i="1" s="1"/>
  <c r="M255" i="1"/>
  <c r="O255" i="1" s="1"/>
  <c r="M256" i="1"/>
  <c r="O256" i="1" s="1"/>
  <c r="M257" i="1"/>
  <c r="O257" i="1" s="1"/>
  <c r="M258" i="1"/>
  <c r="O258" i="1" s="1"/>
  <c r="M259" i="1"/>
  <c r="O259" i="1" s="1"/>
  <c r="M260" i="1"/>
  <c r="O260" i="1" s="1"/>
  <c r="M261" i="1"/>
  <c r="O261" i="1" s="1"/>
  <c r="M262" i="1"/>
  <c r="O262" i="1" s="1"/>
  <c r="M263" i="1"/>
  <c r="O263" i="1" s="1"/>
  <c r="M264" i="1"/>
  <c r="O264" i="1" s="1"/>
  <c r="M265" i="1"/>
  <c r="O265" i="1" s="1"/>
  <c r="M266" i="1"/>
  <c r="O266" i="1" s="1"/>
  <c r="M267" i="1"/>
  <c r="O267" i="1" s="1"/>
  <c r="M268" i="1"/>
  <c r="O268" i="1" s="1"/>
  <c r="M269" i="1"/>
  <c r="O269" i="1" s="1"/>
  <c r="M270" i="1"/>
  <c r="O270" i="1" s="1"/>
  <c r="M271" i="1"/>
  <c r="O271" i="1" s="1"/>
  <c r="M272" i="1"/>
  <c r="O272" i="1" s="1"/>
  <c r="M273" i="1"/>
  <c r="O273" i="1" s="1"/>
  <c r="M274" i="1"/>
  <c r="O274" i="1" s="1"/>
  <c r="M275" i="1"/>
  <c r="O275" i="1" s="1"/>
  <c r="M276" i="1"/>
  <c r="O276" i="1" s="1"/>
  <c r="M277" i="1"/>
  <c r="O277" i="1" s="1"/>
  <c r="M278" i="1"/>
  <c r="O278" i="1" s="1"/>
  <c r="M279" i="1"/>
  <c r="O279" i="1" s="1"/>
  <c r="M280" i="1"/>
  <c r="O280" i="1" s="1"/>
  <c r="M281" i="1"/>
  <c r="O281" i="1" s="1"/>
  <c r="M282" i="1"/>
  <c r="O282" i="1" s="1"/>
  <c r="M283" i="1"/>
  <c r="O283" i="1" s="1"/>
  <c r="M284" i="1"/>
  <c r="O284" i="1" s="1"/>
  <c r="M285" i="1"/>
  <c r="O285" i="1" s="1"/>
  <c r="M286" i="1"/>
  <c r="O286" i="1" s="1"/>
  <c r="M287" i="1"/>
  <c r="O287" i="1" s="1"/>
  <c r="M288" i="1"/>
  <c r="O288" i="1" s="1"/>
  <c r="M289" i="1"/>
  <c r="O289" i="1" s="1"/>
  <c r="M290" i="1"/>
  <c r="O290" i="1" s="1"/>
  <c r="M291" i="1"/>
  <c r="O291" i="1" s="1"/>
  <c r="M292" i="1"/>
  <c r="O292" i="1" s="1"/>
  <c r="M293" i="1"/>
  <c r="O293" i="1" s="1"/>
  <c r="M294" i="1"/>
  <c r="O294" i="1" s="1"/>
  <c r="M295" i="1"/>
  <c r="O295" i="1" s="1"/>
  <c r="M296" i="1"/>
  <c r="O296" i="1" s="1"/>
  <c r="M297" i="1"/>
  <c r="O297" i="1" s="1"/>
  <c r="M298" i="1"/>
  <c r="O298" i="1" s="1"/>
  <c r="M299" i="1"/>
  <c r="O299" i="1" s="1"/>
  <c r="M300" i="1"/>
  <c r="O300" i="1" s="1"/>
  <c r="M301" i="1"/>
  <c r="O301" i="1" s="1"/>
  <c r="M302" i="1"/>
  <c r="O302" i="1" s="1"/>
  <c r="M303" i="1"/>
  <c r="O303" i="1" s="1"/>
  <c r="M304" i="1"/>
  <c r="O304" i="1" s="1"/>
  <c r="M305" i="1"/>
  <c r="O305" i="1" s="1"/>
  <c r="M306" i="1"/>
  <c r="O306" i="1" s="1"/>
  <c r="M307" i="1"/>
  <c r="O307" i="1" s="1"/>
  <c r="M308" i="1"/>
  <c r="O308" i="1" s="1"/>
  <c r="M309" i="1"/>
  <c r="O309" i="1" s="1"/>
  <c r="M310" i="1"/>
  <c r="O310" i="1" s="1"/>
  <c r="M311" i="1"/>
  <c r="O311" i="1" s="1"/>
  <c r="M312" i="1"/>
  <c r="O312" i="1" s="1"/>
  <c r="M313" i="1"/>
  <c r="O313" i="1" s="1"/>
  <c r="M314" i="1"/>
  <c r="O314" i="1" s="1"/>
  <c r="M315" i="1"/>
  <c r="O315" i="1" s="1"/>
  <c r="M316" i="1"/>
  <c r="O316" i="1" s="1"/>
  <c r="M317" i="1"/>
  <c r="O317" i="1" s="1"/>
  <c r="M318" i="1"/>
  <c r="O318" i="1" s="1"/>
  <c r="M319" i="1"/>
  <c r="O319" i="1" s="1"/>
  <c r="M320" i="1"/>
  <c r="O320" i="1" s="1"/>
  <c r="M321" i="1"/>
  <c r="O321" i="1" s="1"/>
  <c r="M322" i="1"/>
  <c r="O322" i="1" s="1"/>
  <c r="M323" i="1"/>
  <c r="O323" i="1" s="1"/>
  <c r="M324" i="1"/>
  <c r="O324" i="1" s="1"/>
  <c r="M325" i="1"/>
  <c r="O325" i="1" s="1"/>
  <c r="M326" i="1"/>
  <c r="O326" i="1" s="1"/>
  <c r="M327" i="1"/>
  <c r="O327" i="1" s="1"/>
  <c r="M328" i="1"/>
  <c r="O328" i="1" s="1"/>
  <c r="M329" i="1"/>
  <c r="O329" i="1" s="1"/>
  <c r="M330" i="1"/>
  <c r="O330" i="1" s="1"/>
  <c r="M331" i="1"/>
  <c r="O331" i="1" s="1"/>
  <c r="M332" i="1"/>
  <c r="O332" i="1" s="1"/>
  <c r="M333" i="1"/>
  <c r="O333" i="1" s="1"/>
  <c r="M334" i="1"/>
  <c r="O334" i="1" s="1"/>
  <c r="M335" i="1"/>
  <c r="O335" i="1" s="1"/>
  <c r="M336" i="1"/>
  <c r="O336" i="1" s="1"/>
  <c r="M337" i="1"/>
  <c r="O337" i="1" s="1"/>
  <c r="M338" i="1"/>
  <c r="O338" i="1" s="1"/>
  <c r="M339" i="1"/>
  <c r="O339" i="1" s="1"/>
  <c r="M340" i="1"/>
  <c r="O340" i="1" s="1"/>
  <c r="M341" i="1"/>
  <c r="O341" i="1" s="1"/>
  <c r="M342" i="1"/>
  <c r="O342" i="1" s="1"/>
  <c r="M343" i="1"/>
  <c r="O343" i="1" s="1"/>
  <c r="M344" i="1"/>
  <c r="O344" i="1" s="1"/>
  <c r="M345" i="1"/>
  <c r="O345" i="1" s="1"/>
  <c r="M346" i="1"/>
  <c r="O346" i="1" s="1"/>
  <c r="M347" i="1"/>
  <c r="O347" i="1" s="1"/>
  <c r="M348" i="1"/>
  <c r="O348" i="1" s="1"/>
  <c r="M349" i="1"/>
  <c r="O349" i="1" s="1"/>
  <c r="M350" i="1"/>
  <c r="O350" i="1" s="1"/>
  <c r="M351" i="1"/>
  <c r="O351" i="1" s="1"/>
  <c r="M352" i="1"/>
  <c r="O352" i="1" s="1"/>
  <c r="M353" i="1"/>
  <c r="O353" i="1" s="1"/>
  <c r="M354" i="1"/>
  <c r="O354" i="1" s="1"/>
  <c r="M355" i="1"/>
  <c r="O355" i="1" s="1"/>
  <c r="M356" i="1"/>
  <c r="O356" i="1" s="1"/>
  <c r="M357" i="1"/>
  <c r="O357" i="1" s="1"/>
  <c r="M358" i="1"/>
  <c r="O358" i="1" s="1"/>
  <c r="M359" i="1"/>
  <c r="O359" i="1" s="1"/>
  <c r="M360" i="1"/>
  <c r="O360" i="1" s="1"/>
  <c r="M361" i="1"/>
  <c r="O361" i="1" s="1"/>
  <c r="M362" i="1"/>
  <c r="O362" i="1" s="1"/>
  <c r="M363" i="1"/>
  <c r="O363" i="1" s="1"/>
  <c r="M364" i="1"/>
  <c r="O364" i="1" s="1"/>
  <c r="M365" i="1"/>
  <c r="O365" i="1" s="1"/>
  <c r="M366" i="1"/>
  <c r="O366" i="1" s="1"/>
  <c r="M367" i="1"/>
  <c r="O367" i="1" s="1"/>
  <c r="M368" i="1"/>
  <c r="O368" i="1" s="1"/>
  <c r="M369" i="1"/>
  <c r="O369" i="1" s="1"/>
  <c r="M370" i="1"/>
  <c r="O370" i="1" s="1"/>
  <c r="M371" i="1"/>
  <c r="O371" i="1" s="1"/>
  <c r="M372" i="1"/>
  <c r="O372" i="1" s="1"/>
  <c r="M373" i="1"/>
  <c r="O373" i="1" s="1"/>
  <c r="M374" i="1"/>
  <c r="O374" i="1" s="1"/>
  <c r="M375" i="1"/>
  <c r="O375" i="1" s="1"/>
  <c r="M376" i="1"/>
  <c r="O376" i="1" s="1"/>
  <c r="M377" i="1"/>
  <c r="O377" i="1" s="1"/>
  <c r="M378" i="1"/>
  <c r="O378" i="1" s="1"/>
  <c r="M379" i="1"/>
  <c r="O379" i="1" s="1"/>
  <c r="M380" i="1"/>
  <c r="O380" i="1" s="1"/>
  <c r="M381" i="1"/>
  <c r="O381" i="1" s="1"/>
  <c r="M382" i="1"/>
  <c r="O382" i="1" s="1"/>
  <c r="M383" i="1"/>
  <c r="O383" i="1" s="1"/>
  <c r="M384" i="1"/>
  <c r="O384" i="1" s="1"/>
  <c r="M385" i="1"/>
  <c r="O385" i="1" s="1"/>
  <c r="M386" i="1"/>
  <c r="O386" i="1" s="1"/>
  <c r="M387" i="1"/>
  <c r="O387" i="1" s="1"/>
  <c r="M388" i="1"/>
  <c r="O388" i="1" s="1"/>
  <c r="M389" i="1"/>
  <c r="O389" i="1" s="1"/>
  <c r="M390" i="1"/>
  <c r="O390" i="1" s="1"/>
  <c r="M391" i="1"/>
  <c r="O391" i="1" s="1"/>
  <c r="M392" i="1"/>
  <c r="O392" i="1" s="1"/>
  <c r="M393" i="1"/>
  <c r="O393" i="1" s="1"/>
  <c r="M394" i="1"/>
  <c r="O394" i="1" s="1"/>
  <c r="M395" i="1"/>
  <c r="O395" i="1" s="1"/>
  <c r="M396" i="1"/>
  <c r="O396" i="1" s="1"/>
  <c r="M397" i="1"/>
  <c r="O397" i="1" s="1"/>
  <c r="M398" i="1"/>
  <c r="O398" i="1" s="1"/>
  <c r="M399" i="1"/>
  <c r="O399" i="1" s="1"/>
  <c r="M400" i="1"/>
  <c r="O400" i="1" s="1"/>
  <c r="M401" i="1"/>
  <c r="O401" i="1" s="1"/>
  <c r="M402" i="1"/>
  <c r="O402" i="1" s="1"/>
  <c r="M403" i="1"/>
  <c r="O403" i="1" s="1"/>
  <c r="M404" i="1"/>
  <c r="O404" i="1" s="1"/>
  <c r="M405" i="1"/>
  <c r="O405" i="1" s="1"/>
  <c r="M406" i="1"/>
  <c r="O406" i="1" s="1"/>
  <c r="M407" i="1"/>
  <c r="O407" i="1" s="1"/>
  <c r="M408" i="1"/>
  <c r="O408" i="1" s="1"/>
  <c r="M409" i="1"/>
  <c r="O409" i="1" s="1"/>
  <c r="M410" i="1"/>
  <c r="O410" i="1" s="1"/>
  <c r="M411" i="1"/>
  <c r="O411" i="1" s="1"/>
  <c r="M412" i="1"/>
  <c r="O412" i="1" s="1"/>
  <c r="M413" i="1"/>
  <c r="O413" i="1" s="1"/>
  <c r="M414" i="1"/>
  <c r="O414" i="1" s="1"/>
  <c r="M415" i="1"/>
  <c r="O415" i="1" s="1"/>
  <c r="M416" i="1"/>
  <c r="O416" i="1" s="1"/>
  <c r="M417" i="1"/>
  <c r="O417" i="1" s="1"/>
  <c r="M418" i="1"/>
  <c r="O418" i="1" s="1"/>
  <c r="M419" i="1"/>
  <c r="O419" i="1" s="1"/>
  <c r="M420" i="1"/>
  <c r="O420" i="1" s="1"/>
  <c r="M421" i="1"/>
  <c r="O421" i="1" s="1"/>
  <c r="M422" i="1"/>
  <c r="O422" i="1" s="1"/>
  <c r="M423" i="1"/>
  <c r="O423" i="1" s="1"/>
  <c r="M424" i="1"/>
  <c r="O424" i="1" s="1"/>
  <c r="M425" i="1"/>
  <c r="O425" i="1" s="1"/>
  <c r="M426" i="1"/>
  <c r="O426" i="1" s="1"/>
  <c r="M427" i="1"/>
  <c r="O427" i="1" s="1"/>
  <c r="M428" i="1"/>
  <c r="O428" i="1" s="1"/>
  <c r="M429" i="1"/>
  <c r="O429" i="1" s="1"/>
  <c r="M430" i="1"/>
  <c r="O430" i="1" s="1"/>
  <c r="M431" i="1"/>
  <c r="O431" i="1" s="1"/>
  <c r="M432" i="1"/>
  <c r="O432" i="1" s="1"/>
  <c r="M433" i="1"/>
  <c r="O433" i="1" s="1"/>
  <c r="M434" i="1"/>
  <c r="O434" i="1" s="1"/>
  <c r="M435" i="1"/>
  <c r="O435" i="1" s="1"/>
  <c r="M436" i="1"/>
  <c r="O436" i="1" s="1"/>
  <c r="M437" i="1"/>
  <c r="O437" i="1" s="1"/>
  <c r="M438" i="1"/>
  <c r="O438" i="1" s="1"/>
  <c r="M439" i="1"/>
  <c r="O439" i="1" s="1"/>
  <c r="M440" i="1"/>
  <c r="O440" i="1" s="1"/>
  <c r="M441" i="1"/>
  <c r="O441" i="1" s="1"/>
  <c r="M442" i="1"/>
  <c r="O442" i="1" s="1"/>
  <c r="M443" i="1"/>
  <c r="O443" i="1" s="1"/>
  <c r="M444" i="1"/>
  <c r="O444" i="1" s="1"/>
  <c r="M445" i="1"/>
  <c r="O445" i="1" s="1"/>
  <c r="M446" i="1"/>
  <c r="O446" i="1" s="1"/>
  <c r="M447" i="1"/>
  <c r="O447" i="1" s="1"/>
  <c r="M448" i="1"/>
  <c r="O448" i="1" s="1"/>
  <c r="M449" i="1"/>
  <c r="O449" i="1" s="1"/>
  <c r="M450" i="1"/>
  <c r="O450" i="1" s="1"/>
  <c r="M451" i="1"/>
  <c r="O451" i="1" s="1"/>
  <c r="M452" i="1"/>
  <c r="O452" i="1" s="1"/>
  <c r="M453" i="1"/>
  <c r="O453" i="1" s="1"/>
  <c r="M454" i="1"/>
  <c r="O454" i="1" s="1"/>
  <c r="M455" i="1"/>
  <c r="O455" i="1" s="1"/>
  <c r="M456" i="1"/>
  <c r="O456" i="1" s="1"/>
  <c r="M457" i="1"/>
  <c r="O457" i="1" s="1"/>
  <c r="M458" i="1"/>
  <c r="O458" i="1" s="1"/>
  <c r="M459" i="1"/>
  <c r="O459" i="1" s="1"/>
  <c r="M460" i="1"/>
  <c r="O460" i="1" s="1"/>
  <c r="M461" i="1"/>
  <c r="O461" i="1" s="1"/>
  <c r="M462" i="1"/>
  <c r="O462" i="1" s="1"/>
  <c r="M463" i="1"/>
  <c r="O463" i="1" s="1"/>
  <c r="M464" i="1"/>
  <c r="O464" i="1" s="1"/>
  <c r="M465" i="1"/>
  <c r="O465" i="1" s="1"/>
  <c r="M466" i="1"/>
  <c r="O466" i="1" s="1"/>
  <c r="M467" i="1"/>
  <c r="O467" i="1" s="1"/>
  <c r="M468" i="1"/>
  <c r="O468" i="1" s="1"/>
  <c r="M469" i="1"/>
  <c r="O469" i="1" s="1"/>
  <c r="M470" i="1"/>
  <c r="O470" i="1" s="1"/>
  <c r="M471" i="1"/>
  <c r="O471" i="1" s="1"/>
  <c r="M472" i="1"/>
  <c r="O472" i="1" s="1"/>
  <c r="M473" i="1"/>
  <c r="O473" i="1" s="1"/>
  <c r="M474" i="1"/>
  <c r="O474" i="1" s="1"/>
  <c r="M475" i="1"/>
  <c r="O475" i="1" s="1"/>
  <c r="M476" i="1"/>
  <c r="O476" i="1" s="1"/>
  <c r="M477" i="1"/>
  <c r="O477" i="1" s="1"/>
  <c r="M478" i="1"/>
  <c r="O478" i="1" s="1"/>
  <c r="M479" i="1"/>
  <c r="O479" i="1" s="1"/>
  <c r="M480" i="1"/>
  <c r="O480" i="1" s="1"/>
  <c r="M481" i="1"/>
  <c r="O481" i="1" s="1"/>
  <c r="M482" i="1"/>
  <c r="O482" i="1" s="1"/>
  <c r="M483" i="1"/>
  <c r="O483" i="1" s="1"/>
  <c r="M484" i="1"/>
  <c r="O484" i="1" s="1"/>
  <c r="M485" i="1"/>
  <c r="O485" i="1" s="1"/>
  <c r="M486" i="1"/>
  <c r="O486" i="1" s="1"/>
  <c r="M487" i="1"/>
  <c r="O487" i="1" s="1"/>
  <c r="M488" i="1"/>
  <c r="O488" i="1" s="1"/>
  <c r="M489" i="1"/>
  <c r="O489" i="1" s="1"/>
  <c r="M490" i="1"/>
  <c r="O490" i="1" s="1"/>
  <c r="M491" i="1"/>
  <c r="O491" i="1" s="1"/>
  <c r="M492" i="1"/>
  <c r="O492" i="1" s="1"/>
  <c r="M493" i="1"/>
  <c r="O493" i="1" s="1"/>
  <c r="M494" i="1"/>
  <c r="O494" i="1" s="1"/>
  <c r="M495" i="1"/>
  <c r="O495" i="1" s="1"/>
  <c r="M496" i="1"/>
  <c r="O496" i="1" s="1"/>
  <c r="M497" i="1"/>
  <c r="O497" i="1" s="1"/>
  <c r="M498" i="1"/>
  <c r="O498" i="1" s="1"/>
  <c r="M499" i="1"/>
  <c r="O499" i="1" s="1"/>
  <c r="M500" i="1"/>
  <c r="O500" i="1" s="1"/>
  <c r="M501" i="1"/>
  <c r="O501" i="1" s="1"/>
  <c r="M502" i="1"/>
  <c r="O502" i="1" s="1"/>
  <c r="M503" i="1"/>
  <c r="O503" i="1" s="1"/>
  <c r="M504" i="1"/>
  <c r="O504" i="1" s="1"/>
  <c r="M505" i="1"/>
  <c r="O505" i="1" s="1"/>
  <c r="M506" i="1"/>
  <c r="O506" i="1" s="1"/>
  <c r="M507" i="1"/>
  <c r="O507" i="1" s="1"/>
  <c r="M508" i="1"/>
  <c r="O508" i="1" s="1"/>
  <c r="M509" i="1"/>
  <c r="O509" i="1" s="1"/>
  <c r="M510" i="1"/>
  <c r="O510" i="1" s="1"/>
  <c r="M511" i="1"/>
  <c r="O511" i="1" s="1"/>
  <c r="M512" i="1"/>
  <c r="O512" i="1" s="1"/>
  <c r="M513" i="1"/>
  <c r="O513" i="1" s="1"/>
  <c r="M514" i="1"/>
  <c r="O514" i="1" s="1"/>
  <c r="M515" i="1"/>
  <c r="O515" i="1" s="1"/>
  <c r="M516" i="1"/>
  <c r="O516" i="1" s="1"/>
  <c r="M517" i="1"/>
  <c r="O517" i="1" s="1"/>
  <c r="M518" i="1"/>
  <c r="O518" i="1" s="1"/>
  <c r="M519" i="1"/>
  <c r="O519" i="1" s="1"/>
  <c r="M520" i="1"/>
  <c r="O520" i="1" s="1"/>
  <c r="M521" i="1"/>
  <c r="O521" i="1" s="1"/>
  <c r="M522" i="1"/>
  <c r="O522" i="1" s="1"/>
  <c r="M523" i="1"/>
  <c r="O523" i="1" s="1"/>
  <c r="M524" i="1"/>
  <c r="O524" i="1" s="1"/>
  <c r="M525" i="1"/>
  <c r="O525" i="1" s="1"/>
  <c r="M526" i="1"/>
  <c r="O526" i="1" s="1"/>
  <c r="M527" i="1"/>
  <c r="O527" i="1" s="1"/>
  <c r="M528" i="1"/>
  <c r="O528" i="1" s="1"/>
  <c r="M529" i="1"/>
  <c r="O529" i="1" s="1"/>
  <c r="M530" i="1"/>
  <c r="O530" i="1" s="1"/>
  <c r="M531" i="1"/>
  <c r="O531" i="1" s="1"/>
  <c r="M532" i="1"/>
  <c r="O532" i="1" s="1"/>
  <c r="M533" i="1"/>
  <c r="O533" i="1" s="1"/>
  <c r="M534" i="1"/>
  <c r="O534" i="1" s="1"/>
  <c r="M535" i="1"/>
  <c r="O535" i="1" s="1"/>
  <c r="M536" i="1"/>
  <c r="O536" i="1" s="1"/>
  <c r="M537" i="1"/>
  <c r="O537" i="1" s="1"/>
  <c r="M538" i="1"/>
  <c r="O538" i="1" s="1"/>
  <c r="M539" i="1"/>
  <c r="O539" i="1" s="1"/>
  <c r="M540" i="1"/>
  <c r="O540" i="1" s="1"/>
  <c r="M541" i="1"/>
  <c r="O541" i="1" s="1"/>
  <c r="M542" i="1"/>
  <c r="O542" i="1" s="1"/>
  <c r="M543" i="1"/>
  <c r="O543" i="1" s="1"/>
  <c r="M544" i="1"/>
  <c r="O544" i="1" s="1"/>
  <c r="M545" i="1"/>
  <c r="O545" i="1" s="1"/>
  <c r="M546" i="1"/>
  <c r="O546" i="1" s="1"/>
  <c r="M547" i="1"/>
  <c r="O547" i="1" s="1"/>
  <c r="M548" i="1"/>
  <c r="O548" i="1" s="1"/>
  <c r="M549" i="1"/>
  <c r="O549" i="1" s="1"/>
  <c r="M550" i="1"/>
  <c r="O550" i="1" s="1"/>
  <c r="M551" i="1"/>
  <c r="O551" i="1" s="1"/>
  <c r="M552" i="1"/>
  <c r="O552" i="1" s="1"/>
  <c r="M553" i="1"/>
  <c r="O553" i="1" s="1"/>
  <c r="M554" i="1"/>
  <c r="O554" i="1" s="1"/>
  <c r="M555" i="1"/>
  <c r="O555" i="1" s="1"/>
  <c r="M556" i="1"/>
  <c r="O556" i="1" s="1"/>
  <c r="M557" i="1"/>
  <c r="O557" i="1" s="1"/>
  <c r="M558" i="1"/>
  <c r="O558" i="1" s="1"/>
  <c r="M559" i="1"/>
  <c r="O559" i="1" s="1"/>
  <c r="M560" i="1"/>
  <c r="O560" i="1" s="1"/>
  <c r="M561" i="1"/>
  <c r="O561" i="1" s="1"/>
  <c r="M562" i="1"/>
  <c r="O562" i="1" s="1"/>
  <c r="M563" i="1"/>
  <c r="O563" i="1" s="1"/>
  <c r="M564" i="1"/>
  <c r="O564" i="1" s="1"/>
  <c r="M565" i="1"/>
  <c r="O565" i="1" s="1"/>
  <c r="M566" i="1"/>
  <c r="O566" i="1" s="1"/>
  <c r="M567" i="1"/>
  <c r="O567" i="1" s="1"/>
  <c r="M568" i="1"/>
  <c r="O568" i="1" s="1"/>
  <c r="M569" i="1"/>
  <c r="O569" i="1" s="1"/>
  <c r="M570" i="1"/>
  <c r="O570" i="1" s="1"/>
  <c r="M571" i="1"/>
  <c r="O571" i="1" s="1"/>
  <c r="M572" i="1"/>
  <c r="O572" i="1" s="1"/>
  <c r="M573" i="1"/>
  <c r="O573" i="1" s="1"/>
  <c r="M574" i="1"/>
  <c r="O574" i="1" s="1"/>
  <c r="M575" i="1"/>
  <c r="O575" i="1" s="1"/>
  <c r="M576" i="1"/>
  <c r="O576" i="1" s="1"/>
  <c r="M577" i="1"/>
  <c r="O577" i="1" s="1"/>
  <c r="M578" i="1"/>
  <c r="O578" i="1" s="1"/>
  <c r="M579" i="1"/>
  <c r="O579" i="1" s="1"/>
  <c r="M580" i="1"/>
  <c r="O580" i="1" s="1"/>
  <c r="M581" i="1"/>
  <c r="O581" i="1" s="1"/>
  <c r="M582" i="1"/>
  <c r="O582" i="1" s="1"/>
  <c r="M583" i="1"/>
  <c r="O583" i="1" s="1"/>
  <c r="M584" i="1"/>
  <c r="O584" i="1" s="1"/>
  <c r="M585" i="1"/>
  <c r="O585" i="1" s="1"/>
  <c r="M586" i="1"/>
  <c r="O586" i="1" s="1"/>
  <c r="M587" i="1"/>
  <c r="O587" i="1" s="1"/>
  <c r="M588" i="1"/>
  <c r="O588" i="1" s="1"/>
  <c r="M589" i="1"/>
  <c r="O589" i="1" s="1"/>
  <c r="M590" i="1"/>
  <c r="O590" i="1" s="1"/>
  <c r="M591" i="1"/>
  <c r="O591" i="1" s="1"/>
  <c r="M592" i="1"/>
  <c r="O592" i="1" s="1"/>
  <c r="M593" i="1"/>
  <c r="O593" i="1" s="1"/>
  <c r="M594" i="1"/>
  <c r="O594" i="1" s="1"/>
  <c r="M595" i="1"/>
  <c r="O595" i="1" s="1"/>
  <c r="M596" i="1"/>
  <c r="O596" i="1" s="1"/>
  <c r="M597" i="1"/>
  <c r="O597" i="1" s="1"/>
  <c r="M598" i="1"/>
  <c r="O598" i="1" s="1"/>
  <c r="M599" i="1"/>
  <c r="O599" i="1" s="1"/>
  <c r="M600" i="1"/>
  <c r="O600" i="1" s="1"/>
  <c r="M601" i="1"/>
  <c r="O601" i="1" s="1"/>
  <c r="M602" i="1"/>
  <c r="O602" i="1" s="1"/>
  <c r="M603" i="1"/>
  <c r="O603" i="1" s="1"/>
  <c r="M604" i="1"/>
  <c r="O604" i="1" s="1"/>
  <c r="M605" i="1"/>
  <c r="O605" i="1" s="1"/>
  <c r="M606" i="1"/>
  <c r="O606" i="1" s="1"/>
  <c r="M607" i="1"/>
  <c r="O607" i="1" s="1"/>
  <c r="M608" i="1"/>
  <c r="O608" i="1" s="1"/>
  <c r="M609" i="1"/>
  <c r="O609" i="1" s="1"/>
  <c r="M610" i="1"/>
  <c r="O610" i="1" s="1"/>
  <c r="M611" i="1"/>
  <c r="O611" i="1" s="1"/>
  <c r="M612" i="1"/>
  <c r="O612" i="1" s="1"/>
  <c r="M613" i="1"/>
  <c r="O613" i="1" s="1"/>
  <c r="M614" i="1"/>
  <c r="O614" i="1" s="1"/>
  <c r="M615" i="1"/>
  <c r="O615" i="1" s="1"/>
  <c r="M616" i="1"/>
  <c r="O616" i="1" s="1"/>
  <c r="M617" i="1"/>
  <c r="O617" i="1" s="1"/>
  <c r="M618" i="1"/>
  <c r="O618" i="1" s="1"/>
  <c r="M619" i="1"/>
  <c r="O619" i="1" s="1"/>
  <c r="M620" i="1"/>
  <c r="O620" i="1" s="1"/>
  <c r="M621" i="1"/>
  <c r="O621" i="1" s="1"/>
  <c r="M622" i="1"/>
  <c r="O622" i="1" s="1"/>
  <c r="M623" i="1"/>
  <c r="O623" i="1" s="1"/>
  <c r="M624" i="1"/>
  <c r="O624" i="1" s="1"/>
  <c r="M625" i="1"/>
  <c r="O625" i="1" s="1"/>
  <c r="M626" i="1"/>
  <c r="O626" i="1" s="1"/>
  <c r="M627" i="1"/>
  <c r="O627" i="1" s="1"/>
  <c r="M628" i="1"/>
  <c r="O628" i="1" s="1"/>
  <c r="M629" i="1"/>
  <c r="O629" i="1" s="1"/>
  <c r="M630" i="1"/>
  <c r="O630" i="1" s="1"/>
  <c r="M631" i="1"/>
  <c r="O631" i="1" s="1"/>
  <c r="M632" i="1"/>
  <c r="O632" i="1" s="1"/>
  <c r="M633" i="1"/>
  <c r="O633" i="1" s="1"/>
  <c r="M634" i="1"/>
  <c r="O634" i="1" s="1"/>
  <c r="M635" i="1"/>
  <c r="O635" i="1" s="1"/>
  <c r="M636" i="1"/>
  <c r="O636" i="1" s="1"/>
  <c r="M637" i="1"/>
  <c r="O637" i="1" s="1"/>
  <c r="M638" i="1"/>
  <c r="O638" i="1" s="1"/>
  <c r="M639" i="1"/>
  <c r="O639" i="1" s="1"/>
  <c r="M640" i="1"/>
  <c r="O640" i="1" s="1"/>
  <c r="M641" i="1"/>
  <c r="O641" i="1" s="1"/>
  <c r="M642" i="1"/>
  <c r="O642" i="1" s="1"/>
  <c r="M643" i="1"/>
  <c r="O643" i="1" s="1"/>
  <c r="M644" i="1"/>
  <c r="O644" i="1" s="1"/>
  <c r="M645" i="1"/>
  <c r="O645" i="1" s="1"/>
  <c r="M646" i="1"/>
  <c r="O646" i="1" s="1"/>
  <c r="M647" i="1"/>
  <c r="O647" i="1" s="1"/>
  <c r="M648" i="1"/>
  <c r="O648" i="1" s="1"/>
  <c r="M649" i="1"/>
  <c r="O649" i="1" s="1"/>
  <c r="M650" i="1"/>
  <c r="O650" i="1" s="1"/>
  <c r="M651" i="1"/>
  <c r="O651" i="1" s="1"/>
  <c r="M652" i="1"/>
  <c r="O652" i="1" s="1"/>
  <c r="M653" i="1"/>
  <c r="O653" i="1" s="1"/>
  <c r="M654" i="1"/>
  <c r="O654" i="1" s="1"/>
  <c r="M655" i="1"/>
  <c r="O655" i="1" s="1"/>
  <c r="M656" i="1"/>
  <c r="O656" i="1" s="1"/>
  <c r="M657" i="1"/>
  <c r="O657" i="1" s="1"/>
  <c r="M658" i="1"/>
  <c r="O658" i="1" s="1"/>
  <c r="M659" i="1"/>
  <c r="O659" i="1" s="1"/>
  <c r="M660" i="1"/>
  <c r="O660" i="1" s="1"/>
  <c r="M661" i="1"/>
  <c r="O661" i="1" s="1"/>
  <c r="M662" i="1"/>
  <c r="O662" i="1" s="1"/>
  <c r="M663" i="1"/>
  <c r="O663" i="1" s="1"/>
  <c r="M664" i="1"/>
  <c r="O664" i="1" s="1"/>
  <c r="M665" i="1"/>
  <c r="O665" i="1" s="1"/>
  <c r="M666" i="1"/>
  <c r="O666" i="1" s="1"/>
  <c r="M667" i="1"/>
  <c r="O667" i="1" s="1"/>
  <c r="M668" i="1"/>
  <c r="O668" i="1" s="1"/>
  <c r="M669" i="1"/>
  <c r="O669" i="1" s="1"/>
  <c r="M670" i="1"/>
  <c r="O670" i="1" s="1"/>
  <c r="M671" i="1"/>
  <c r="O671" i="1" s="1"/>
  <c r="M672" i="1"/>
  <c r="O672" i="1" s="1"/>
  <c r="M673" i="1"/>
  <c r="O673" i="1" s="1"/>
  <c r="M674" i="1"/>
  <c r="O674" i="1" s="1"/>
  <c r="M675" i="1"/>
  <c r="O675" i="1" s="1"/>
  <c r="M676" i="1"/>
  <c r="O676" i="1" s="1"/>
  <c r="M677" i="1"/>
  <c r="O677" i="1" s="1"/>
  <c r="M678" i="1"/>
  <c r="O678" i="1" s="1"/>
  <c r="M679" i="1"/>
  <c r="O679" i="1" s="1"/>
  <c r="M680" i="1"/>
  <c r="O680" i="1" s="1"/>
  <c r="M681" i="1"/>
  <c r="O681" i="1" s="1"/>
  <c r="M682" i="1"/>
  <c r="O682" i="1" s="1"/>
  <c r="M683" i="1"/>
  <c r="O683" i="1" s="1"/>
  <c r="M684" i="1"/>
  <c r="O684" i="1" s="1"/>
  <c r="M685" i="1"/>
  <c r="O685" i="1" s="1"/>
  <c r="M686" i="1"/>
  <c r="O686" i="1" s="1"/>
  <c r="M687" i="1"/>
  <c r="O687" i="1" s="1"/>
  <c r="M688" i="1"/>
  <c r="O688" i="1" s="1"/>
  <c r="M689" i="1"/>
  <c r="O689" i="1" s="1"/>
  <c r="M690" i="1"/>
  <c r="O690" i="1" s="1"/>
  <c r="M691" i="1"/>
  <c r="O691" i="1" s="1"/>
  <c r="M692" i="1"/>
  <c r="O692" i="1" s="1"/>
  <c r="M693" i="1"/>
  <c r="O693" i="1" s="1"/>
  <c r="M694" i="1"/>
  <c r="O694" i="1" s="1"/>
  <c r="M695" i="1"/>
  <c r="O695" i="1" s="1"/>
  <c r="M696" i="1"/>
  <c r="O696" i="1" s="1"/>
  <c r="M697" i="1"/>
  <c r="O697" i="1" s="1"/>
  <c r="M698" i="1"/>
  <c r="O698" i="1" s="1"/>
  <c r="M699" i="1"/>
  <c r="O699" i="1" s="1"/>
  <c r="M700" i="1"/>
  <c r="O700" i="1" s="1"/>
  <c r="M701" i="1"/>
  <c r="O701" i="1" s="1"/>
  <c r="M702" i="1"/>
  <c r="O702" i="1" s="1"/>
  <c r="M703" i="1"/>
  <c r="O703" i="1" s="1"/>
  <c r="M704" i="1"/>
  <c r="O704" i="1" s="1"/>
  <c r="M705" i="1"/>
  <c r="O705" i="1" s="1"/>
  <c r="M706" i="1"/>
  <c r="O706" i="1" s="1"/>
  <c r="M707" i="1"/>
  <c r="O707" i="1" s="1"/>
  <c r="M708" i="1"/>
  <c r="O708" i="1" s="1"/>
  <c r="M709" i="1"/>
  <c r="O709" i="1" s="1"/>
  <c r="M710" i="1"/>
  <c r="O710" i="1" s="1"/>
  <c r="M711" i="1"/>
  <c r="O711" i="1" s="1"/>
  <c r="M712" i="1"/>
  <c r="O712" i="1" s="1"/>
  <c r="M713" i="1"/>
  <c r="O713" i="1" s="1"/>
  <c r="M714" i="1"/>
  <c r="O714" i="1" s="1"/>
  <c r="M715" i="1"/>
  <c r="O715" i="1" s="1"/>
  <c r="M716" i="1"/>
  <c r="O716" i="1" s="1"/>
  <c r="M717" i="1"/>
  <c r="O717" i="1" s="1"/>
  <c r="M718" i="1"/>
  <c r="O718" i="1" s="1"/>
  <c r="M719" i="1"/>
  <c r="O719" i="1" s="1"/>
  <c r="M720" i="1"/>
  <c r="O720" i="1" s="1"/>
  <c r="M721" i="1"/>
  <c r="O721" i="1" s="1"/>
  <c r="M722" i="1"/>
  <c r="O722" i="1" s="1"/>
  <c r="M723" i="1"/>
  <c r="O723" i="1" s="1"/>
  <c r="M724" i="1"/>
  <c r="O724" i="1" s="1"/>
  <c r="M725" i="1"/>
  <c r="O725" i="1" s="1"/>
  <c r="M726" i="1"/>
  <c r="O726" i="1" s="1"/>
  <c r="M727" i="1"/>
  <c r="O727" i="1" s="1"/>
  <c r="M728" i="1"/>
  <c r="O728" i="1" s="1"/>
  <c r="M729" i="1"/>
  <c r="O729" i="1" s="1"/>
  <c r="M730" i="1"/>
  <c r="O730" i="1" s="1"/>
  <c r="M731" i="1"/>
  <c r="O731" i="1" s="1"/>
  <c r="M732" i="1"/>
  <c r="O732" i="1" s="1"/>
  <c r="M733" i="1"/>
  <c r="O733" i="1" s="1"/>
  <c r="M734" i="1"/>
  <c r="O734" i="1" s="1"/>
  <c r="M735" i="1"/>
  <c r="O735" i="1" s="1"/>
  <c r="M736" i="1"/>
  <c r="O736" i="1" s="1"/>
  <c r="M737" i="1"/>
  <c r="O737" i="1" s="1"/>
  <c r="M738" i="1"/>
  <c r="O738" i="1" s="1"/>
  <c r="M739" i="1"/>
  <c r="O739" i="1" s="1"/>
  <c r="M740" i="1"/>
  <c r="O740" i="1" s="1"/>
  <c r="M741" i="1"/>
  <c r="O741" i="1" s="1"/>
  <c r="M742" i="1"/>
  <c r="O742" i="1" s="1"/>
  <c r="M743" i="1"/>
  <c r="O743" i="1" s="1"/>
  <c r="M744" i="1"/>
  <c r="O744" i="1" s="1"/>
  <c r="M745" i="1"/>
  <c r="O745" i="1" s="1"/>
  <c r="M746" i="1"/>
  <c r="O746" i="1" s="1"/>
  <c r="M747" i="1"/>
  <c r="O747" i="1" s="1"/>
  <c r="M748" i="1"/>
  <c r="O748" i="1" s="1"/>
  <c r="M749" i="1"/>
  <c r="O749" i="1" s="1"/>
  <c r="M750" i="1"/>
  <c r="O750" i="1" s="1"/>
  <c r="M751" i="1"/>
  <c r="O751" i="1" s="1"/>
  <c r="M752" i="1"/>
  <c r="O752" i="1" s="1"/>
  <c r="M753" i="1"/>
  <c r="O753" i="1" s="1"/>
  <c r="M754" i="1"/>
  <c r="O754" i="1" s="1"/>
  <c r="M755" i="1"/>
  <c r="O755" i="1" s="1"/>
  <c r="M756" i="1"/>
  <c r="O756" i="1" s="1"/>
  <c r="M757" i="1"/>
  <c r="O757" i="1" s="1"/>
  <c r="M758" i="1"/>
  <c r="O758" i="1" s="1"/>
  <c r="M759" i="1"/>
  <c r="O759" i="1" s="1"/>
  <c r="M760" i="1"/>
  <c r="O760" i="1" s="1"/>
  <c r="M761" i="1"/>
  <c r="O761" i="1" s="1"/>
  <c r="M762" i="1"/>
  <c r="O762" i="1" s="1"/>
  <c r="M763" i="1"/>
  <c r="O763" i="1" s="1"/>
  <c r="M764" i="1"/>
  <c r="O764" i="1" s="1"/>
  <c r="M765" i="1"/>
  <c r="O765" i="1" s="1"/>
  <c r="M766" i="1"/>
  <c r="O766" i="1" s="1"/>
  <c r="M767" i="1"/>
  <c r="O767" i="1" s="1"/>
  <c r="M768" i="1"/>
  <c r="O768" i="1" s="1"/>
  <c r="M769" i="1"/>
  <c r="O769" i="1" s="1"/>
  <c r="M770" i="1"/>
  <c r="O770" i="1" s="1"/>
  <c r="M771" i="1"/>
  <c r="O771" i="1" s="1"/>
  <c r="M772" i="1"/>
  <c r="O772" i="1" s="1"/>
  <c r="M773" i="1"/>
  <c r="O773" i="1" s="1"/>
  <c r="M774" i="1"/>
  <c r="O774" i="1" s="1"/>
  <c r="M775" i="1"/>
  <c r="O775" i="1" s="1"/>
  <c r="M776" i="1"/>
  <c r="O776" i="1" s="1"/>
  <c r="M777" i="1"/>
  <c r="O777" i="1" s="1"/>
  <c r="M778" i="1"/>
  <c r="O778" i="1" s="1"/>
  <c r="M779" i="1"/>
  <c r="O779" i="1" s="1"/>
  <c r="M780" i="1"/>
  <c r="O780" i="1" s="1"/>
  <c r="M781" i="1"/>
  <c r="O781" i="1" s="1"/>
  <c r="M782" i="1"/>
  <c r="O782" i="1" s="1"/>
  <c r="M783" i="1"/>
  <c r="O783" i="1" s="1"/>
  <c r="M784" i="1"/>
  <c r="O784" i="1" s="1"/>
  <c r="M785" i="1"/>
  <c r="O785" i="1" s="1"/>
  <c r="M786" i="1"/>
  <c r="O786" i="1" s="1"/>
  <c r="M787" i="1"/>
  <c r="O787" i="1" s="1"/>
  <c r="M788" i="1"/>
  <c r="O788" i="1" s="1"/>
  <c r="M789" i="1"/>
  <c r="O789" i="1" s="1"/>
  <c r="M790" i="1"/>
  <c r="O790" i="1" s="1"/>
  <c r="M791" i="1"/>
  <c r="O791" i="1" s="1"/>
  <c r="M792" i="1"/>
  <c r="O792" i="1" s="1"/>
  <c r="M793" i="1"/>
  <c r="O793" i="1" s="1"/>
  <c r="M794" i="1"/>
  <c r="O794" i="1" s="1"/>
  <c r="M795" i="1"/>
  <c r="O795" i="1" s="1"/>
  <c r="M796" i="1"/>
  <c r="O796" i="1" s="1"/>
  <c r="M797" i="1"/>
  <c r="O797" i="1" s="1"/>
  <c r="M798" i="1"/>
  <c r="O798" i="1" s="1"/>
  <c r="M799" i="1"/>
  <c r="O799" i="1" s="1"/>
  <c r="M800" i="1"/>
  <c r="O800" i="1" s="1"/>
  <c r="M801" i="1"/>
  <c r="O801" i="1" s="1"/>
  <c r="M802" i="1"/>
  <c r="O802" i="1" s="1"/>
  <c r="M803" i="1"/>
  <c r="O803" i="1" s="1"/>
  <c r="M804" i="1"/>
  <c r="O804" i="1" s="1"/>
  <c r="M805" i="1"/>
  <c r="O805" i="1" s="1"/>
  <c r="M806" i="1"/>
  <c r="O806" i="1" s="1"/>
  <c r="M807" i="1"/>
  <c r="O807" i="1" s="1"/>
  <c r="M808" i="1"/>
  <c r="O808" i="1" s="1"/>
  <c r="M809" i="1"/>
  <c r="O809" i="1" s="1"/>
  <c r="M810" i="1"/>
  <c r="O810" i="1" s="1"/>
  <c r="M811" i="1"/>
  <c r="O811" i="1" s="1"/>
  <c r="M812" i="1"/>
  <c r="O812" i="1" s="1"/>
  <c r="M813" i="1"/>
  <c r="O813" i="1" s="1"/>
  <c r="M814" i="1"/>
  <c r="O814" i="1" s="1"/>
  <c r="M815" i="1"/>
  <c r="O815" i="1" s="1"/>
  <c r="M816" i="1"/>
  <c r="O816" i="1" s="1"/>
  <c r="M817" i="1"/>
  <c r="O817" i="1" s="1"/>
  <c r="M818" i="1"/>
  <c r="O818" i="1" s="1"/>
  <c r="M819" i="1"/>
  <c r="O819" i="1" s="1"/>
  <c r="M820" i="1"/>
  <c r="O820" i="1" s="1"/>
  <c r="M821" i="1"/>
  <c r="O821" i="1" s="1"/>
  <c r="M822" i="1"/>
  <c r="O822" i="1" s="1"/>
  <c r="M823" i="1"/>
  <c r="O823" i="1" s="1"/>
  <c r="M824" i="1"/>
  <c r="O824" i="1" s="1"/>
  <c r="M825" i="1"/>
  <c r="O825" i="1" s="1"/>
  <c r="M826" i="1"/>
  <c r="O826" i="1" s="1"/>
  <c r="M827" i="1"/>
  <c r="O827" i="1" s="1"/>
  <c r="M828" i="1"/>
  <c r="O828" i="1" s="1"/>
  <c r="M829" i="1"/>
  <c r="O829" i="1" s="1"/>
  <c r="M830" i="1"/>
  <c r="O830" i="1" s="1"/>
  <c r="M831" i="1"/>
  <c r="O831" i="1" s="1"/>
  <c r="M832" i="1"/>
  <c r="O832" i="1" s="1"/>
  <c r="M833" i="1"/>
  <c r="O833" i="1" s="1"/>
  <c r="M834" i="1"/>
  <c r="O834" i="1" s="1"/>
  <c r="M835" i="1"/>
  <c r="O835" i="1" s="1"/>
  <c r="M836" i="1"/>
  <c r="O836" i="1" s="1"/>
  <c r="M837" i="1"/>
  <c r="O837" i="1" s="1"/>
  <c r="M838" i="1"/>
  <c r="O838" i="1" s="1"/>
  <c r="M839" i="1"/>
  <c r="O839" i="1" s="1"/>
  <c r="M840" i="1"/>
  <c r="O840" i="1" s="1"/>
  <c r="M841" i="1"/>
  <c r="O841" i="1" s="1"/>
  <c r="M842" i="1"/>
  <c r="O842" i="1" s="1"/>
  <c r="M843" i="1"/>
  <c r="O843" i="1" s="1"/>
  <c r="M844" i="1"/>
  <c r="O844" i="1" s="1"/>
  <c r="M845" i="1"/>
  <c r="O845" i="1" s="1"/>
  <c r="M846" i="1"/>
  <c r="O846" i="1" s="1"/>
  <c r="M847" i="1"/>
  <c r="O847" i="1" s="1"/>
  <c r="M848" i="1"/>
  <c r="O848" i="1" s="1"/>
  <c r="M849" i="1"/>
  <c r="O849" i="1" s="1"/>
  <c r="M850" i="1"/>
  <c r="O850" i="1" s="1"/>
  <c r="M851" i="1"/>
  <c r="O851" i="1" s="1"/>
  <c r="M852" i="1"/>
  <c r="O852" i="1" s="1"/>
  <c r="M853" i="1"/>
  <c r="O853" i="1" s="1"/>
  <c r="M854" i="1"/>
  <c r="O854" i="1" s="1"/>
  <c r="M855" i="1"/>
  <c r="O855" i="1" s="1"/>
  <c r="M856" i="1"/>
  <c r="O856" i="1" s="1"/>
  <c r="M857" i="1"/>
  <c r="O857" i="1" s="1"/>
  <c r="M858" i="1"/>
  <c r="O858" i="1" s="1"/>
  <c r="M859" i="1"/>
  <c r="O859" i="1" s="1"/>
  <c r="M860" i="1"/>
  <c r="O860" i="1" s="1"/>
  <c r="M861" i="1"/>
  <c r="O861" i="1" s="1"/>
  <c r="M862" i="1"/>
  <c r="O862" i="1" s="1"/>
  <c r="M863" i="1"/>
  <c r="O863" i="1" s="1"/>
  <c r="M864" i="1"/>
  <c r="O864" i="1" s="1"/>
  <c r="M865" i="1"/>
  <c r="O865" i="1" s="1"/>
  <c r="M866" i="1"/>
  <c r="O866" i="1" s="1"/>
  <c r="M867" i="1"/>
  <c r="O867" i="1" s="1"/>
  <c r="M868" i="1"/>
  <c r="O868" i="1" s="1"/>
  <c r="M869" i="1"/>
  <c r="O869" i="1" s="1"/>
  <c r="M870" i="1"/>
  <c r="O870" i="1" s="1"/>
  <c r="M871" i="1"/>
  <c r="O871" i="1" s="1"/>
  <c r="M872" i="1"/>
  <c r="O872" i="1" s="1"/>
  <c r="M873" i="1"/>
  <c r="O873" i="1" s="1"/>
  <c r="M874" i="1"/>
  <c r="O874" i="1" s="1"/>
  <c r="M875" i="1"/>
  <c r="O875" i="1" s="1"/>
  <c r="M876" i="1"/>
  <c r="O876" i="1" s="1"/>
  <c r="M877" i="1"/>
  <c r="O877" i="1" s="1"/>
  <c r="M878" i="1"/>
  <c r="O878" i="1" s="1"/>
  <c r="M879" i="1"/>
  <c r="O879" i="1" s="1"/>
  <c r="M880" i="1"/>
  <c r="O880" i="1" s="1"/>
  <c r="M881" i="1"/>
  <c r="O881" i="1" s="1"/>
  <c r="M882" i="1"/>
  <c r="O882" i="1" s="1"/>
  <c r="M883" i="1"/>
  <c r="O883" i="1" s="1"/>
  <c r="M884" i="1"/>
  <c r="O884" i="1" s="1"/>
  <c r="M885" i="1"/>
  <c r="O885" i="1" s="1"/>
  <c r="M886" i="1"/>
  <c r="O886" i="1" s="1"/>
  <c r="M887" i="1"/>
  <c r="O887" i="1" s="1"/>
  <c r="M888" i="1"/>
  <c r="O888" i="1" s="1"/>
  <c r="M889" i="1"/>
  <c r="O889" i="1" s="1"/>
  <c r="M890" i="1"/>
  <c r="O890" i="1" s="1"/>
  <c r="M891" i="1"/>
  <c r="O891" i="1" s="1"/>
  <c r="M892" i="1"/>
  <c r="O892" i="1" s="1"/>
  <c r="M893" i="1"/>
  <c r="O893" i="1" s="1"/>
  <c r="M894" i="1"/>
  <c r="O894" i="1" s="1"/>
  <c r="M895" i="1"/>
  <c r="O895" i="1" s="1"/>
  <c r="M896" i="1"/>
  <c r="O896" i="1" s="1"/>
  <c r="M897" i="1"/>
  <c r="O897" i="1" s="1"/>
  <c r="M898" i="1"/>
  <c r="O898" i="1" s="1"/>
  <c r="M899" i="1"/>
  <c r="O899" i="1" s="1"/>
  <c r="M900" i="1"/>
  <c r="O900" i="1" s="1"/>
  <c r="M901" i="1"/>
  <c r="O901" i="1" s="1"/>
  <c r="M902" i="1"/>
  <c r="O902" i="1" s="1"/>
  <c r="M903" i="1"/>
  <c r="O903" i="1" s="1"/>
  <c r="M904" i="1"/>
  <c r="O904" i="1" s="1"/>
  <c r="M905" i="1"/>
  <c r="O905" i="1" s="1"/>
  <c r="M906" i="1"/>
  <c r="O906" i="1" s="1"/>
  <c r="M907" i="1"/>
  <c r="O907" i="1" s="1"/>
  <c r="M908" i="1"/>
  <c r="O908" i="1" s="1"/>
  <c r="M909" i="1"/>
  <c r="O909" i="1" s="1"/>
  <c r="M910" i="1"/>
  <c r="O910" i="1" s="1"/>
  <c r="M911" i="1"/>
  <c r="O911" i="1" s="1"/>
  <c r="M912" i="1"/>
  <c r="O912" i="1" s="1"/>
  <c r="M913" i="1"/>
  <c r="O913" i="1" s="1"/>
  <c r="M914" i="1"/>
  <c r="O914" i="1" s="1"/>
  <c r="M915" i="1"/>
  <c r="O915" i="1" s="1"/>
  <c r="M916" i="1"/>
  <c r="O916" i="1" s="1"/>
  <c r="M917" i="1"/>
  <c r="O917" i="1" s="1"/>
  <c r="M918" i="1"/>
  <c r="O918" i="1" s="1"/>
  <c r="M919" i="1"/>
  <c r="O919" i="1" s="1"/>
  <c r="M920" i="1"/>
  <c r="O920" i="1" s="1"/>
  <c r="M921" i="1"/>
  <c r="O921" i="1" s="1"/>
  <c r="M922" i="1"/>
  <c r="O922" i="1" s="1"/>
  <c r="M923" i="1"/>
  <c r="O923" i="1" s="1"/>
  <c r="M924" i="1"/>
  <c r="O924" i="1" s="1"/>
  <c r="M925" i="1"/>
  <c r="O925" i="1" s="1"/>
  <c r="M926" i="1"/>
  <c r="O926" i="1" s="1"/>
  <c r="M927" i="1"/>
  <c r="O927" i="1" s="1"/>
  <c r="M928" i="1"/>
  <c r="O928" i="1" s="1"/>
  <c r="M929" i="1"/>
  <c r="O929" i="1" s="1"/>
  <c r="M930" i="1"/>
  <c r="O930" i="1" s="1"/>
  <c r="M931" i="1"/>
  <c r="O931" i="1" s="1"/>
  <c r="M932" i="1"/>
  <c r="O932" i="1" s="1"/>
  <c r="M933" i="1"/>
  <c r="O933" i="1" s="1"/>
  <c r="M934" i="1"/>
  <c r="O934" i="1" s="1"/>
  <c r="M935" i="1"/>
  <c r="O935" i="1" s="1"/>
  <c r="M936" i="1"/>
  <c r="O936" i="1" s="1"/>
  <c r="M937" i="1"/>
  <c r="O937" i="1" s="1"/>
  <c r="M938" i="1"/>
  <c r="O938" i="1" s="1"/>
  <c r="M939" i="1"/>
  <c r="O939" i="1" s="1"/>
  <c r="M940" i="1"/>
  <c r="O940" i="1" s="1"/>
  <c r="M941" i="1"/>
  <c r="O941" i="1" s="1"/>
  <c r="M942" i="1"/>
  <c r="O942" i="1" s="1"/>
  <c r="M943" i="1"/>
  <c r="O943" i="1" s="1"/>
  <c r="M944" i="1"/>
  <c r="O944" i="1" s="1"/>
  <c r="M945" i="1"/>
  <c r="O945" i="1" s="1"/>
  <c r="M946" i="1"/>
  <c r="O946" i="1" s="1"/>
  <c r="M947" i="1"/>
  <c r="O947" i="1" s="1"/>
  <c r="M948" i="1"/>
  <c r="O948" i="1" s="1"/>
  <c r="M949" i="1"/>
  <c r="O949" i="1" s="1"/>
  <c r="M950" i="1"/>
  <c r="O950" i="1" s="1"/>
  <c r="M951" i="1"/>
  <c r="O951" i="1" s="1"/>
  <c r="M952" i="1"/>
  <c r="O952" i="1" s="1"/>
  <c r="M953" i="1"/>
  <c r="O953" i="1" s="1"/>
  <c r="M954" i="1"/>
  <c r="O954" i="1" s="1"/>
  <c r="M955" i="1"/>
  <c r="O955" i="1" s="1"/>
  <c r="M956" i="1"/>
  <c r="O956" i="1" s="1"/>
  <c r="M957" i="1"/>
  <c r="O957" i="1" s="1"/>
  <c r="M958" i="1"/>
  <c r="O958" i="1" s="1"/>
  <c r="M959" i="1"/>
  <c r="O959" i="1" s="1"/>
  <c r="M960" i="1"/>
  <c r="O960" i="1" s="1"/>
  <c r="M961" i="1"/>
  <c r="O961" i="1" s="1"/>
  <c r="M962" i="1"/>
  <c r="O962" i="1" s="1"/>
  <c r="M963" i="1"/>
  <c r="O963" i="1" s="1"/>
  <c r="M964" i="1"/>
  <c r="O964" i="1" s="1"/>
  <c r="M965" i="1"/>
  <c r="O965" i="1" s="1"/>
  <c r="M966" i="1"/>
  <c r="O966" i="1" s="1"/>
  <c r="M967" i="1"/>
  <c r="O967" i="1" s="1"/>
  <c r="M968" i="1"/>
  <c r="O968" i="1" s="1"/>
  <c r="M969" i="1"/>
  <c r="O969" i="1" s="1"/>
  <c r="M970" i="1"/>
  <c r="O970" i="1" s="1"/>
  <c r="M971" i="1"/>
  <c r="O971" i="1" s="1"/>
  <c r="M972" i="1"/>
  <c r="O972" i="1" s="1"/>
  <c r="M973" i="1"/>
  <c r="O973" i="1" s="1"/>
  <c r="M974" i="1"/>
  <c r="O974" i="1" s="1"/>
  <c r="M975" i="1"/>
  <c r="O975" i="1" s="1"/>
  <c r="M976" i="1"/>
  <c r="O976" i="1" s="1"/>
  <c r="M977" i="1"/>
  <c r="O977" i="1" s="1"/>
  <c r="M978" i="1"/>
  <c r="O978" i="1" s="1"/>
  <c r="M979" i="1"/>
  <c r="O979" i="1" s="1"/>
  <c r="M980" i="1"/>
  <c r="O980" i="1" s="1"/>
  <c r="M981" i="1"/>
  <c r="O981" i="1" s="1"/>
  <c r="M982" i="1"/>
  <c r="O982" i="1" s="1"/>
  <c r="M983" i="1"/>
  <c r="O983" i="1" s="1"/>
  <c r="M984" i="1"/>
  <c r="O984" i="1" s="1"/>
  <c r="M985" i="1"/>
  <c r="O985" i="1" s="1"/>
  <c r="M986" i="1"/>
  <c r="O986" i="1" s="1"/>
  <c r="M987" i="1"/>
  <c r="O987" i="1" s="1"/>
  <c r="M988" i="1"/>
  <c r="O988" i="1" s="1"/>
  <c r="M989" i="1"/>
  <c r="O989" i="1" s="1"/>
  <c r="M990" i="1"/>
  <c r="O990" i="1" s="1"/>
  <c r="M991" i="1"/>
  <c r="O991" i="1" s="1"/>
  <c r="M992" i="1"/>
  <c r="O992" i="1" s="1"/>
  <c r="M993" i="1"/>
  <c r="O993" i="1" s="1"/>
  <c r="M994" i="1"/>
  <c r="O994" i="1" s="1"/>
  <c r="M995" i="1"/>
  <c r="O995" i="1" s="1"/>
  <c r="M996" i="1"/>
  <c r="O996" i="1" s="1"/>
  <c r="M997" i="1"/>
  <c r="O997" i="1" s="1"/>
  <c r="M998" i="1"/>
  <c r="O998" i="1" s="1"/>
  <c r="M999" i="1"/>
  <c r="O999" i="1" s="1"/>
  <c r="M1000" i="1"/>
  <c r="O1000" i="1" s="1"/>
  <c r="M1001" i="1"/>
  <c r="O1001" i="1" s="1"/>
  <c r="M3" i="1"/>
  <c r="O3" i="1"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D4" i="2" l="1"/>
  <c r="H4" i="2" s="1"/>
  <c r="E4" i="2"/>
  <c r="G4" i="2"/>
  <c r="F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B3ACA4-5F6D-439E-BA75-1C56FFF9CC5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4AD325A-ED8D-4AE7-BDD5-7143CBA21137}" name="WorksheetConnection_O2C_Data!$A$1:$O$1001" type="102" refreshedVersion="8" minRefreshableVersion="5">
    <extLst>
      <ext xmlns:x15="http://schemas.microsoft.com/office/spreadsheetml/2010/11/main" uri="{DE250136-89BD-433C-8126-D09CA5730AF9}">
        <x15:connection id="Range" autoDelete="1">
          <x15:rangePr sourceName="_xlcn.WorksheetConnection_O2C_DataA1O1001"/>
        </x15:connection>
      </ext>
    </extLst>
  </connection>
</connections>
</file>

<file path=xl/sharedStrings.xml><?xml version="1.0" encoding="utf-8"?>
<sst xmlns="http://schemas.openxmlformats.org/spreadsheetml/2006/main" count="7898" uniqueCount="1565">
  <si>
    <t>OrderID</t>
  </si>
  <si>
    <t>Customer</t>
  </si>
  <si>
    <t>Region</t>
  </si>
  <si>
    <t>OrderDate</t>
  </si>
  <si>
    <t>InvoiceDate</t>
  </si>
  <si>
    <t>DueDate</t>
  </si>
  <si>
    <t>PaymentDate</t>
  </si>
  <si>
    <t>OrderValue</t>
  </si>
  <si>
    <t>AmountPaid</t>
  </si>
  <si>
    <t>Status</t>
  </si>
  <si>
    <t>O0001</t>
  </si>
  <si>
    <t>Yewale Kirana</t>
  </si>
  <si>
    <t>West</t>
  </si>
  <si>
    <t>27-Feb-25</t>
  </si>
  <si>
    <t>28-Feb-25</t>
  </si>
  <si>
    <t>30-Mar-25</t>
  </si>
  <si>
    <t>09-Mar-25</t>
  </si>
  <si>
    <t>Paid</t>
  </si>
  <si>
    <t>O0002</t>
  </si>
  <si>
    <t>Raskar General Store</t>
  </si>
  <si>
    <t>22-Feb-25</t>
  </si>
  <si>
    <t>25-Feb-25</t>
  </si>
  <si>
    <t>27-Mar-25</t>
  </si>
  <si>
    <t>15-Mar-25</t>
  </si>
  <si>
    <t>O0003</t>
  </si>
  <si>
    <t>Gupta Traders</t>
  </si>
  <si>
    <t>North</t>
  </si>
  <si>
    <t>16-Jan-25</t>
  </si>
  <si>
    <t>17-Jan-25</t>
  </si>
  <si>
    <t>16-Feb-25</t>
  </si>
  <si>
    <t>10-Feb-25</t>
  </si>
  <si>
    <t>O0004</t>
  </si>
  <si>
    <t>Iyer Supermart</t>
  </si>
  <si>
    <t>South</t>
  </si>
  <si>
    <t>15-Oct-25</t>
  </si>
  <si>
    <t>16-Oct-25</t>
  </si>
  <si>
    <t>15-Nov-25</t>
  </si>
  <si>
    <t>04-Nov-25</t>
  </si>
  <si>
    <t>O0005</t>
  </si>
  <si>
    <t>Raut Supermart</t>
  </si>
  <si>
    <t>East</t>
  </si>
  <si>
    <t>23-May-25</t>
  </si>
  <si>
    <t>24-May-25</t>
  </si>
  <si>
    <t>23-Jun-25</t>
  </si>
  <si>
    <t>04-Jul-25</t>
  </si>
  <si>
    <t>Paid Late</t>
  </si>
  <si>
    <t>O0006</t>
  </si>
  <si>
    <t>Yadav General Store</t>
  </si>
  <si>
    <t>21-Mar-25</t>
  </si>
  <si>
    <t>22-Mar-25</t>
  </si>
  <si>
    <t>21-Apr-25</t>
  </si>
  <si>
    <t>08-Apr-25</t>
  </si>
  <si>
    <t>O0007</t>
  </si>
  <si>
    <t>Agarwal Super Store</t>
  </si>
  <si>
    <t>03-Jul-25</t>
  </si>
  <si>
    <t>05-Jul-25</t>
  </si>
  <si>
    <t>04-Aug-25</t>
  </si>
  <si>
    <t>Overdue</t>
  </si>
  <si>
    <t>O0008</t>
  </si>
  <si>
    <t>Pansare Stores</t>
  </si>
  <si>
    <t>24-Aug-25</t>
  </si>
  <si>
    <t>27-Aug-25</t>
  </si>
  <si>
    <t>26-Sep-25</t>
  </si>
  <si>
    <t>Cancelled</t>
  </si>
  <si>
    <t>O0009</t>
  </si>
  <si>
    <t>Londhe Retail</t>
  </si>
  <si>
    <t>13-Feb-25</t>
  </si>
  <si>
    <t>O0010</t>
  </si>
  <si>
    <t>Vitkar Stores</t>
  </si>
  <si>
    <t>08-Jul-25</t>
  </si>
  <si>
    <t>07-Aug-25</t>
  </si>
  <si>
    <t>Outstanding</t>
  </si>
  <si>
    <t>O0011</t>
  </si>
  <si>
    <t>Singh Departmental Store</t>
  </si>
  <si>
    <t>05-Dec-25</t>
  </si>
  <si>
    <t>06-Dec-25</t>
  </si>
  <si>
    <t>05-Jan-26</t>
  </si>
  <si>
    <t>O0012</t>
  </si>
  <si>
    <t>Shetty Supermart</t>
  </si>
  <si>
    <t>21-Feb-25</t>
  </si>
  <si>
    <t>23-Feb-25</t>
  </si>
  <si>
    <t>25-Mar-25</t>
  </si>
  <si>
    <t>11-Mar-25</t>
  </si>
  <si>
    <t>O0013</t>
  </si>
  <si>
    <t>Jain Retail Mart</t>
  </si>
  <si>
    <t>09-Jul-25</t>
  </si>
  <si>
    <t>11-Jul-25</t>
  </si>
  <si>
    <t>10-Aug-25</t>
  </si>
  <si>
    <t>02-Sep-25</t>
  </si>
  <si>
    <t>O0014</t>
  </si>
  <si>
    <t>Gawali Retail</t>
  </si>
  <si>
    <t>28-Nov-25</t>
  </si>
  <si>
    <t>29-Nov-25</t>
  </si>
  <si>
    <t>29-Dec-25</t>
  </si>
  <si>
    <t>11-Dec-25</t>
  </si>
  <si>
    <t>O0015</t>
  </si>
  <si>
    <t>25-Aug-25</t>
  </si>
  <si>
    <t>O0016</t>
  </si>
  <si>
    <t>19-Dec-25</t>
  </si>
  <si>
    <t>22-Dec-25</t>
  </si>
  <si>
    <t>21-Jan-26</t>
  </si>
  <si>
    <t>17-Feb-26</t>
  </si>
  <si>
    <t>O0017</t>
  </si>
  <si>
    <t>Varale Stores</t>
  </si>
  <si>
    <t>29-Jan-25</t>
  </si>
  <si>
    <t>30-Jan-25</t>
  </si>
  <si>
    <t>01-Mar-25</t>
  </si>
  <si>
    <t>O0018</t>
  </si>
  <si>
    <t>Oswal Supermart</t>
  </si>
  <si>
    <t>18-May-25</t>
  </si>
  <si>
    <t>19-May-25</t>
  </si>
  <si>
    <t>18-Jun-25</t>
  </si>
  <si>
    <t>13-Jun-25</t>
  </si>
  <si>
    <t>Partial</t>
  </si>
  <si>
    <t>O0019</t>
  </si>
  <si>
    <t>Aher Provision Mart</t>
  </si>
  <si>
    <t>13-Sep-25</t>
  </si>
  <si>
    <t>15-Sep-25</t>
  </si>
  <si>
    <t>24-Sep-25</t>
  </si>
  <si>
    <t>O0020</t>
  </si>
  <si>
    <t>Upadhyay Stores</t>
  </si>
  <si>
    <t>18-Oct-25</t>
  </si>
  <si>
    <t>17-Nov-25</t>
  </si>
  <si>
    <t>O0021</t>
  </si>
  <si>
    <t>Salve Stores</t>
  </si>
  <si>
    <t>26-Oct-25</t>
  </si>
  <si>
    <t>28-Oct-25</t>
  </si>
  <si>
    <t>27-Nov-25</t>
  </si>
  <si>
    <t>06-Nov-25</t>
  </si>
  <si>
    <t>O0022</t>
  </si>
  <si>
    <t>Ekbote Supermart</t>
  </si>
  <si>
    <t>10-Sep-25</t>
  </si>
  <si>
    <t>11-Sep-25</t>
  </si>
  <si>
    <t>11-Oct-25</t>
  </si>
  <si>
    <t>O0023</t>
  </si>
  <si>
    <t>Iyengar Supermart</t>
  </si>
  <si>
    <t>18-Nov-25</t>
  </si>
  <si>
    <t>19-Nov-25</t>
  </si>
  <si>
    <t>01-Jan-26</t>
  </si>
  <si>
    <t>O0024</t>
  </si>
  <si>
    <t>02-Nov-25</t>
  </si>
  <si>
    <t>04-Dec-25</t>
  </si>
  <si>
    <t>26-Nov-25</t>
  </si>
  <si>
    <t>O0025</t>
  </si>
  <si>
    <t>Patel Kirana</t>
  </si>
  <si>
    <t>15-Dec-25</t>
  </si>
  <si>
    <t>18-Dec-25</t>
  </si>
  <si>
    <t>17-Jan-26</t>
  </si>
  <si>
    <t>04-Feb-26</t>
  </si>
  <si>
    <t>O0026</t>
  </si>
  <si>
    <t>Suryawanshi Kirana</t>
  </si>
  <si>
    <t>17-May-25</t>
  </si>
  <si>
    <t>20-May-25</t>
  </si>
  <si>
    <t>19-Jun-25</t>
  </si>
  <si>
    <t>07-Jun-25</t>
  </si>
  <si>
    <t>O0027</t>
  </si>
  <si>
    <t>21-Aug-25</t>
  </si>
  <si>
    <t>22-Aug-25</t>
  </si>
  <si>
    <t>21-Sep-25</t>
  </si>
  <si>
    <t>O0028</t>
  </si>
  <si>
    <t>Ubale Supermart</t>
  </si>
  <si>
    <t>02-Apr-25</t>
  </si>
  <si>
    <t>05-Apr-25</t>
  </si>
  <si>
    <t>05-May-25</t>
  </si>
  <si>
    <t>O0029</t>
  </si>
  <si>
    <t>Bansal Provision Store</t>
  </si>
  <si>
    <t>24-Nov-25</t>
  </si>
  <si>
    <t>27-Dec-25</t>
  </si>
  <si>
    <t>07-Dec-25</t>
  </si>
  <si>
    <t>O0030</t>
  </si>
  <si>
    <t>Jagtap Kirana</t>
  </si>
  <si>
    <t>29-Sep-25</t>
  </si>
  <si>
    <t>30-Sep-25</t>
  </si>
  <si>
    <t>30-Oct-25</t>
  </si>
  <si>
    <t>08-Oct-25</t>
  </si>
  <si>
    <t>O0031</t>
  </si>
  <si>
    <t>Jadhav Kirana Mart</t>
  </si>
  <si>
    <t>08-Jun-25</t>
  </si>
  <si>
    <t>01-Jul-25</t>
  </si>
  <si>
    <t>O0032</t>
  </si>
  <si>
    <t>Nair General Stores</t>
  </si>
  <si>
    <t>18-Mar-25</t>
  </si>
  <si>
    <t>O0033</t>
  </si>
  <si>
    <t>01-Oct-25</t>
  </si>
  <si>
    <t>31-Oct-25</t>
  </si>
  <si>
    <t>O0034</t>
  </si>
  <si>
    <t>Kaur General Store</t>
  </si>
  <si>
    <t>16-May-25</t>
  </si>
  <si>
    <t>O0035</t>
  </si>
  <si>
    <t>20-Dec-25</t>
  </si>
  <si>
    <t>21-Dec-25</t>
  </si>
  <si>
    <t>20-Jan-26</t>
  </si>
  <si>
    <t>16-Jan-26</t>
  </si>
  <si>
    <t>O0036</t>
  </si>
  <si>
    <t>13-Jul-25</t>
  </si>
  <si>
    <t>12-Aug-25</t>
  </si>
  <si>
    <t>25-Jul-25</t>
  </si>
  <si>
    <t>O0037</t>
  </si>
  <si>
    <t>Rastogi General Store</t>
  </si>
  <si>
    <t>02-Feb-25</t>
  </si>
  <si>
    <t>04-Feb-25</t>
  </si>
  <si>
    <t>06-Mar-25</t>
  </si>
  <si>
    <t>14-Mar-25</t>
  </si>
  <si>
    <t>O0038</t>
  </si>
  <si>
    <t>23-Apr-25</t>
  </si>
  <si>
    <t>24-Apr-25</t>
  </si>
  <si>
    <t>O0039</t>
  </si>
  <si>
    <t>Mehta Retail</t>
  </si>
  <si>
    <t>28-Apr-25</t>
  </si>
  <si>
    <t>29-Apr-25</t>
  </si>
  <si>
    <t>29-May-25</t>
  </si>
  <si>
    <t>O0040</t>
  </si>
  <si>
    <t>Joshi Kirana</t>
  </si>
  <si>
    <t>22-Sep-25</t>
  </si>
  <si>
    <t>22-Oct-25</t>
  </si>
  <si>
    <t>29-Oct-25</t>
  </si>
  <si>
    <t>O0041</t>
  </si>
  <si>
    <t>12-Mar-25</t>
  </si>
  <si>
    <t>11-Apr-25</t>
  </si>
  <si>
    <t>01-Apr-25</t>
  </si>
  <si>
    <t>O0042</t>
  </si>
  <si>
    <t>Patil Brothers</t>
  </si>
  <si>
    <t>09-Apr-25</t>
  </si>
  <si>
    <t>09-May-25</t>
  </si>
  <si>
    <t>21-May-25</t>
  </si>
  <si>
    <t>O0043</t>
  </si>
  <si>
    <t>30-Jul-25</t>
  </si>
  <si>
    <t>01-Aug-25</t>
  </si>
  <si>
    <t>31-Aug-25</t>
  </si>
  <si>
    <t>O0044</t>
  </si>
  <si>
    <t>01-Feb-25</t>
  </si>
  <si>
    <t>03-Feb-25</t>
  </si>
  <si>
    <t>05-Mar-25</t>
  </si>
  <si>
    <t>O0045</t>
  </si>
  <si>
    <t>Bose Brothers Retail</t>
  </si>
  <si>
    <t>08-May-25</t>
  </si>
  <si>
    <t>O0046</t>
  </si>
  <si>
    <t>04-Apr-25</t>
  </si>
  <si>
    <t>06-Apr-25</t>
  </si>
  <si>
    <t>06-May-25</t>
  </si>
  <si>
    <t>13-Apr-25</t>
  </si>
  <si>
    <t>O0047</t>
  </si>
  <si>
    <t>Unde Provision Mart</t>
  </si>
  <si>
    <t>09-Oct-25</t>
  </si>
  <si>
    <t>10-Oct-25</t>
  </si>
  <si>
    <t>09-Nov-25</t>
  </si>
  <si>
    <t>O0048</t>
  </si>
  <si>
    <t>17-Feb-25</t>
  </si>
  <si>
    <t>18-Feb-25</t>
  </si>
  <si>
    <t>20-Mar-25</t>
  </si>
  <si>
    <t>10-Mar-25</t>
  </si>
  <si>
    <t>O0049</t>
  </si>
  <si>
    <t>Qureshi Traders</t>
  </si>
  <si>
    <t>26-Jul-25</t>
  </si>
  <si>
    <t>O0050</t>
  </si>
  <si>
    <t>Walia Brothers</t>
  </si>
  <si>
    <t>23-Aug-25</t>
  </si>
  <si>
    <t>O0051</t>
  </si>
  <si>
    <t>Yashwante General Store</t>
  </si>
  <si>
    <t>12-Oct-25</t>
  </si>
  <si>
    <t>14-Nov-25</t>
  </si>
  <si>
    <t>O0052</t>
  </si>
  <si>
    <t>04-Mar-25</t>
  </si>
  <si>
    <t>O0053</t>
  </si>
  <si>
    <t>26-Jan-25</t>
  </si>
  <si>
    <t>19-Feb-25</t>
  </si>
  <si>
    <t>O0054</t>
  </si>
  <si>
    <t>O0055</t>
  </si>
  <si>
    <t>Rao Enterprises</t>
  </si>
  <si>
    <t>01-Nov-25</t>
  </si>
  <si>
    <t>02-Dec-25</t>
  </si>
  <si>
    <t>25-Nov-25</t>
  </si>
  <si>
    <t>O0056</t>
  </si>
  <si>
    <t>24-Oct-25</t>
  </si>
  <si>
    <t>27-Oct-25</t>
  </si>
  <si>
    <t>10-Dec-25</t>
  </si>
  <si>
    <t>O0057</t>
  </si>
  <si>
    <t>Bansode Stores</t>
  </si>
  <si>
    <t>11-Nov-25</t>
  </si>
  <si>
    <t>O0058</t>
  </si>
  <si>
    <t>Pillai Provision Store</t>
  </si>
  <si>
    <t>09-Dec-25</t>
  </si>
  <si>
    <t>12-Dec-25</t>
  </si>
  <si>
    <t>11-Jan-26</t>
  </si>
  <si>
    <t>O0059</t>
  </si>
  <si>
    <t>Fernandes Stores</t>
  </si>
  <si>
    <t>13-Dec-25</t>
  </si>
  <si>
    <t>12-Jan-26</t>
  </si>
  <si>
    <t>O0060</t>
  </si>
  <si>
    <t>26-Aug-25</t>
  </si>
  <si>
    <t>25-Sep-25</t>
  </si>
  <si>
    <t>06-Sep-25</t>
  </si>
  <si>
    <t>O0061</t>
  </si>
  <si>
    <t>Desai Provision Store</t>
  </si>
  <si>
    <t>16-Jun-25</t>
  </si>
  <si>
    <t>06-Jun-25</t>
  </si>
  <si>
    <t>O0062</t>
  </si>
  <si>
    <t>Zutshi Traders</t>
  </si>
  <si>
    <t>24-Mar-25</t>
  </si>
  <si>
    <t>O0063</t>
  </si>
  <si>
    <t>Ugale Brothers</t>
  </si>
  <si>
    <t>01-Dec-25</t>
  </si>
  <si>
    <t>03-Jan-26</t>
  </si>
  <si>
    <t>O0064</t>
  </si>
  <si>
    <t>06-Jan-26</t>
  </si>
  <si>
    <t>O0065</t>
  </si>
  <si>
    <t>Shinde Provision Mart</t>
  </si>
  <si>
    <t>23-Oct-25</t>
  </si>
  <si>
    <t>O0066</t>
  </si>
  <si>
    <t>More Brothers Retail</t>
  </si>
  <si>
    <t>25-Jun-25</t>
  </si>
  <si>
    <t>26-Jun-25</t>
  </si>
  <si>
    <t>O0067</t>
  </si>
  <si>
    <t>Krishnan Stores</t>
  </si>
  <si>
    <t>20-Feb-25</t>
  </si>
  <si>
    <t>O0068</t>
  </si>
  <si>
    <t>02-Jan-25</t>
  </si>
  <si>
    <t>04-Jan-25</t>
  </si>
  <si>
    <t>12-Feb-25</t>
  </si>
  <si>
    <t>O0069</t>
  </si>
  <si>
    <t>15-Aug-25</t>
  </si>
  <si>
    <t>18-Aug-25</t>
  </si>
  <si>
    <t>17-Sep-25</t>
  </si>
  <si>
    <t>O0070</t>
  </si>
  <si>
    <t>O0071</t>
  </si>
  <si>
    <t>Pawar Kirana Bhandar</t>
  </si>
  <si>
    <t>10-Nov-25</t>
  </si>
  <si>
    <t>25-Oct-25</t>
  </si>
  <si>
    <t>O0072</t>
  </si>
  <si>
    <t>21-Jan-25</t>
  </si>
  <si>
    <t>23-Jan-25</t>
  </si>
  <si>
    <t>16-Mar-25</t>
  </si>
  <si>
    <t>O0073</t>
  </si>
  <si>
    <t>03-Aug-25</t>
  </si>
  <si>
    <t>O0074</t>
  </si>
  <si>
    <t>O0075</t>
  </si>
  <si>
    <t>Lal Brothers</t>
  </si>
  <si>
    <t>31-Jul-25</t>
  </si>
  <si>
    <t>O0076</t>
  </si>
  <si>
    <t>Fulzele Kirana</t>
  </si>
  <si>
    <t>02-Aug-25</t>
  </si>
  <si>
    <t>01-Sep-25</t>
  </si>
  <si>
    <t>29-Aug-25</t>
  </si>
  <si>
    <t>O0077</t>
  </si>
  <si>
    <t>15-Jul-25</t>
  </si>
  <si>
    <t>16-Jul-25</t>
  </si>
  <si>
    <t>O0078</t>
  </si>
  <si>
    <t>Hande General Store</t>
  </si>
  <si>
    <t>07-Jul-25</t>
  </si>
  <si>
    <t>O0079</t>
  </si>
  <si>
    <t>20-Jun-25</t>
  </si>
  <si>
    <t>20-Jul-25</t>
  </si>
  <si>
    <t>O0080</t>
  </si>
  <si>
    <t>29-Jun-25</t>
  </si>
  <si>
    <t>02-Jul-25</t>
  </si>
  <si>
    <t>24-Jul-25</t>
  </si>
  <si>
    <t>O0081</t>
  </si>
  <si>
    <t>15-Jan-25</t>
  </si>
  <si>
    <t>15-Feb-25</t>
  </si>
  <si>
    <t>O0082</t>
  </si>
  <si>
    <t>O0083</t>
  </si>
  <si>
    <t>Thorat General Store</t>
  </si>
  <si>
    <t>07-Nov-25</t>
  </si>
  <si>
    <t>03-Dec-25</t>
  </si>
  <si>
    <t>O0084</t>
  </si>
  <si>
    <t>Nanda Stores</t>
  </si>
  <si>
    <t>11-May-25</t>
  </si>
  <si>
    <t>12-May-25</t>
  </si>
  <si>
    <t>11-Jun-25</t>
  </si>
  <si>
    <t>03-Jun-25</t>
  </si>
  <si>
    <t>O0085</t>
  </si>
  <si>
    <t>10-Jan-26</t>
  </si>
  <si>
    <t>O0086</t>
  </si>
  <si>
    <t>16-Nov-25</t>
  </si>
  <si>
    <t>O0087</t>
  </si>
  <si>
    <t>19-Sep-25</t>
  </si>
  <si>
    <t>19-Oct-25</t>
  </si>
  <si>
    <t>O0088</t>
  </si>
  <si>
    <t>Anand Kirana</t>
  </si>
  <si>
    <t>O0089</t>
  </si>
  <si>
    <t>Dhole Kirana</t>
  </si>
  <si>
    <t>31-Mar-25</t>
  </si>
  <si>
    <t>03-Apr-25</t>
  </si>
  <si>
    <t>03-May-25</t>
  </si>
  <si>
    <t>O0090</t>
  </si>
  <si>
    <t>27-May-25</t>
  </si>
  <si>
    <t>28-May-25</t>
  </si>
  <si>
    <t>27-Jun-25</t>
  </si>
  <si>
    <t>O0091</t>
  </si>
  <si>
    <t>Tambe Provision Store</t>
  </si>
  <si>
    <t>30-Dec-25</t>
  </si>
  <si>
    <t>O0092</t>
  </si>
  <si>
    <t>21-Oct-25</t>
  </si>
  <si>
    <t>O0093</t>
  </si>
  <si>
    <t>08-Jan-26</t>
  </si>
  <si>
    <t>O0094</t>
  </si>
  <si>
    <t>09-Jun-25</t>
  </si>
  <si>
    <t>15-Jun-25</t>
  </si>
  <si>
    <t>O0095</t>
  </si>
  <si>
    <t>04-Sep-25</t>
  </si>
  <si>
    <t>04-Oct-25</t>
  </si>
  <si>
    <t>O0096</t>
  </si>
  <si>
    <t>Nimkar General Store</t>
  </si>
  <si>
    <t>10-Apr-25</t>
  </si>
  <si>
    <t>13-May-25</t>
  </si>
  <si>
    <t>25-Apr-25</t>
  </si>
  <si>
    <t>O0097</t>
  </si>
  <si>
    <t>Hegde Provision Store</t>
  </si>
  <si>
    <t>04-Jan-26</t>
  </si>
  <si>
    <t>16-Dec-25</t>
  </si>
  <si>
    <t>O0098</t>
  </si>
  <si>
    <t>04-May-25</t>
  </si>
  <si>
    <t>26-Apr-25</t>
  </si>
  <si>
    <t>O0099</t>
  </si>
  <si>
    <t>O0100</t>
  </si>
  <si>
    <t>Chavan Supermart</t>
  </si>
  <si>
    <t>02-Oct-25</t>
  </si>
  <si>
    <t>O0101</t>
  </si>
  <si>
    <t>13-Nov-25</t>
  </si>
  <si>
    <t>O0102</t>
  </si>
  <si>
    <t>Vaidya Kirana</t>
  </si>
  <si>
    <t>23-Mar-25</t>
  </si>
  <si>
    <t>26-Mar-25</t>
  </si>
  <si>
    <t>07-Apr-25</t>
  </si>
  <si>
    <t>O0103</t>
  </si>
  <si>
    <t>22-May-25</t>
  </si>
  <si>
    <t>25-May-25</t>
  </si>
  <si>
    <t>24-Jun-25</t>
  </si>
  <si>
    <t>O0104</t>
  </si>
  <si>
    <t>09-Feb-25</t>
  </si>
  <si>
    <t>O0105</t>
  </si>
  <si>
    <t>Deshpande Supermart</t>
  </si>
  <si>
    <t>05-Oct-25</t>
  </si>
  <si>
    <t>O0106</t>
  </si>
  <si>
    <t>Kadam Provision Store</t>
  </si>
  <si>
    <t>22-Apr-25</t>
  </si>
  <si>
    <t>O0107</t>
  </si>
  <si>
    <t>07-Oct-25</t>
  </si>
  <si>
    <t>O0108</t>
  </si>
  <si>
    <t>Mane General Store</t>
  </si>
  <si>
    <t>O0109</t>
  </si>
  <si>
    <t>23-Nov-25</t>
  </si>
  <si>
    <t>O0110</t>
  </si>
  <si>
    <t>19-Jul-25</t>
  </si>
  <si>
    <t>21-Jul-25</t>
  </si>
  <si>
    <t>20-Aug-25</t>
  </si>
  <si>
    <t>O0111</t>
  </si>
  <si>
    <t>05-Nov-25</t>
  </si>
  <si>
    <t>O0112</t>
  </si>
  <si>
    <t>Bhosale General Store</t>
  </si>
  <si>
    <t>O0113</t>
  </si>
  <si>
    <t>28-Mar-25</t>
  </si>
  <si>
    <t>27-Apr-25</t>
  </si>
  <si>
    <t>O0114</t>
  </si>
  <si>
    <t>Ingawale General Store</t>
  </si>
  <si>
    <t>14-Jan-25</t>
  </si>
  <si>
    <t>O0115</t>
  </si>
  <si>
    <t>Ghosh Departmental</t>
  </si>
  <si>
    <t>O0116</t>
  </si>
  <si>
    <t>O0117</t>
  </si>
  <si>
    <t>O0118</t>
  </si>
  <si>
    <t>Zende Traders</t>
  </si>
  <si>
    <t>10-Jan-25</t>
  </si>
  <si>
    <t>13-Jan-25</t>
  </si>
  <si>
    <t>O0119</t>
  </si>
  <si>
    <t>30-Nov-25</t>
  </si>
  <si>
    <t>O0120</t>
  </si>
  <si>
    <t>14-Apr-25</t>
  </si>
  <si>
    <t>14-May-25</t>
  </si>
  <si>
    <t>O0121</t>
  </si>
  <si>
    <t>03-Mar-25</t>
  </si>
  <si>
    <t>O0122</t>
  </si>
  <si>
    <t>08-Aug-25</t>
  </si>
  <si>
    <t>O0123</t>
  </si>
  <si>
    <t>10-Jun-25</t>
  </si>
  <si>
    <t>10-Jul-25</t>
  </si>
  <si>
    <t>O0124</t>
  </si>
  <si>
    <t>12-Apr-25</t>
  </si>
  <si>
    <t>O0125</t>
  </si>
  <si>
    <t>O0126</t>
  </si>
  <si>
    <t>09-Aug-25</t>
  </si>
  <si>
    <t>O0127</t>
  </si>
  <si>
    <t>Rajput Kirana</t>
  </si>
  <si>
    <t>08-Sep-25</t>
  </si>
  <si>
    <t>09-Sep-25</t>
  </si>
  <si>
    <t>O0128</t>
  </si>
  <si>
    <t>O0129</t>
  </si>
  <si>
    <t>Gade Brothers</t>
  </si>
  <si>
    <t>O0130</t>
  </si>
  <si>
    <t>Yadav Bhandar</t>
  </si>
  <si>
    <t>14-Sep-25</t>
  </si>
  <si>
    <t>O0131</t>
  </si>
  <si>
    <t>Verma Provision Mart</t>
  </si>
  <si>
    <t>O0132</t>
  </si>
  <si>
    <t>Mhetre Stores</t>
  </si>
  <si>
    <t>12-Nov-25</t>
  </si>
  <si>
    <t>O0133</t>
  </si>
  <si>
    <t>Eknath Retail</t>
  </si>
  <si>
    <t>19-Apr-25</t>
  </si>
  <si>
    <t>O0134</t>
  </si>
  <si>
    <t>Gaikwad Provision</t>
  </si>
  <si>
    <t>O0135</t>
  </si>
  <si>
    <t>14-Feb-25</t>
  </si>
  <si>
    <t>26-Feb-25</t>
  </si>
  <si>
    <t>O0136</t>
  </si>
  <si>
    <t>O0137</t>
  </si>
  <si>
    <t>31-May-25</t>
  </si>
  <si>
    <t>01-Jun-25</t>
  </si>
  <si>
    <t>O0138</t>
  </si>
  <si>
    <t>08-Dec-25</t>
  </si>
  <si>
    <t>O0139</t>
  </si>
  <si>
    <t>O0140</t>
  </si>
  <si>
    <t>Xavier Provision Mart</t>
  </si>
  <si>
    <t>O0141</t>
  </si>
  <si>
    <t>O0142</t>
  </si>
  <si>
    <t>O0143</t>
  </si>
  <si>
    <t>O0144</t>
  </si>
  <si>
    <t>02-Jun-25</t>
  </si>
  <si>
    <t>O0145</t>
  </si>
  <si>
    <t>Magar Kirana Bhandar</t>
  </si>
  <si>
    <t>O0146</t>
  </si>
  <si>
    <t>Kamble Provision Mart</t>
  </si>
  <si>
    <t>30-May-25</t>
  </si>
  <si>
    <t>27-Jul-25</t>
  </si>
  <si>
    <t>O0147</t>
  </si>
  <si>
    <t>O0148</t>
  </si>
  <si>
    <t>O0149</t>
  </si>
  <si>
    <t>Ambhore Stores</t>
  </si>
  <si>
    <t>O0150</t>
  </si>
  <si>
    <t>Wani General Store</t>
  </si>
  <si>
    <t>18-Jan-26</t>
  </si>
  <si>
    <t>O0151</t>
  </si>
  <si>
    <t>O0152</t>
  </si>
  <si>
    <t>O0153</t>
  </si>
  <si>
    <t>19-Aug-25</t>
  </si>
  <si>
    <t>20-Sep-25</t>
  </si>
  <si>
    <t>O0154</t>
  </si>
  <si>
    <t>O0155</t>
  </si>
  <si>
    <t>17-Apr-25</t>
  </si>
  <si>
    <t>20-Apr-25</t>
  </si>
  <si>
    <t>O0156</t>
  </si>
  <si>
    <t>O0157</t>
  </si>
  <si>
    <t>03-Sep-25</t>
  </si>
  <si>
    <t>O0158</t>
  </si>
  <si>
    <t>28-Dec-25</t>
  </si>
  <si>
    <t>29-Jan-26</t>
  </si>
  <si>
    <t>O0159</t>
  </si>
  <si>
    <t>20-Nov-25</t>
  </si>
  <si>
    <t>O0160</t>
  </si>
  <si>
    <t>O0161</t>
  </si>
  <si>
    <t>31-Jan-25</t>
  </si>
  <si>
    <t>O0162</t>
  </si>
  <si>
    <t>O0163</t>
  </si>
  <si>
    <t>Kharat General Store</t>
  </si>
  <si>
    <t>28-Jul-25</t>
  </si>
  <si>
    <t>16-Aug-25</t>
  </si>
  <si>
    <t>O0164</t>
  </si>
  <si>
    <t>03-Nov-25</t>
  </si>
  <si>
    <t>O0165</t>
  </si>
  <si>
    <t>10-May-25</t>
  </si>
  <si>
    <t>05-Jun-25</t>
  </si>
  <si>
    <t>O0166</t>
  </si>
  <si>
    <t>23-Dec-25</t>
  </si>
  <si>
    <t>O0167</t>
  </si>
  <si>
    <t>02-May-25</t>
  </si>
  <si>
    <t>O0168</t>
  </si>
  <si>
    <t>O0169</t>
  </si>
  <si>
    <t>O0170</t>
  </si>
  <si>
    <t>O0171</t>
  </si>
  <si>
    <t>O0172</t>
  </si>
  <si>
    <t>Venkatesan Retail</t>
  </si>
  <si>
    <t>O0173</t>
  </si>
  <si>
    <t>Sharma General Store</t>
  </si>
  <si>
    <t>17-Dec-25</t>
  </si>
  <si>
    <t>O0174</t>
  </si>
  <si>
    <t>O0175</t>
  </si>
  <si>
    <t>15-Apr-25</t>
  </si>
  <si>
    <t>01-May-25</t>
  </si>
  <si>
    <t>O0176</t>
  </si>
  <si>
    <t>24-Dec-25</t>
  </si>
  <si>
    <t>26-Dec-25</t>
  </si>
  <si>
    <t>25-Jan-26</t>
  </si>
  <si>
    <t>O0177</t>
  </si>
  <si>
    <t>O0178</t>
  </si>
  <si>
    <t>29-Jul-25</t>
  </si>
  <si>
    <t>28-Aug-25</t>
  </si>
  <si>
    <t>O0179</t>
  </si>
  <si>
    <t>Chopra Traders</t>
  </si>
  <si>
    <t>O0180</t>
  </si>
  <si>
    <t>18-Sep-25</t>
  </si>
  <si>
    <t>O0181</t>
  </si>
  <si>
    <t>07-May-25</t>
  </si>
  <si>
    <t>O0182</t>
  </si>
  <si>
    <t>Sathe Retail</t>
  </si>
  <si>
    <t>O0183</t>
  </si>
  <si>
    <t>O0184</t>
  </si>
  <si>
    <t>O0185</t>
  </si>
  <si>
    <t>03-Oct-25</t>
  </si>
  <si>
    <t>O0186</t>
  </si>
  <si>
    <t>23-Sep-25</t>
  </si>
  <si>
    <t>O0187</t>
  </si>
  <si>
    <t>Tiwari Kirana</t>
  </si>
  <si>
    <t>20-Oct-25</t>
  </si>
  <si>
    <t>21-Nov-25</t>
  </si>
  <si>
    <t>O0188</t>
  </si>
  <si>
    <t>25-Jan-25</t>
  </si>
  <si>
    <t>24-Feb-25</t>
  </si>
  <si>
    <t>O0189</t>
  </si>
  <si>
    <t>17-Jul-25</t>
  </si>
  <si>
    <t>O0190</t>
  </si>
  <si>
    <t>O0191</t>
  </si>
  <si>
    <t>O0192</t>
  </si>
  <si>
    <t>02-Jan-26</t>
  </si>
  <si>
    <t>O0193</t>
  </si>
  <si>
    <t>O0194</t>
  </si>
  <si>
    <t>14-Jan-26</t>
  </si>
  <si>
    <t>O0195</t>
  </si>
  <si>
    <t>07-Sep-25</t>
  </si>
  <si>
    <t>O0196</t>
  </si>
  <si>
    <t>O0197</t>
  </si>
  <si>
    <t>O0198</t>
  </si>
  <si>
    <t>O0199</t>
  </si>
  <si>
    <t>O0200</t>
  </si>
  <si>
    <t>17-Oct-25</t>
  </si>
  <si>
    <t>O0201</t>
  </si>
  <si>
    <t>18-Jul-25</t>
  </si>
  <si>
    <t>17-Aug-25</t>
  </si>
  <si>
    <t>O0202</t>
  </si>
  <si>
    <t>O0203</t>
  </si>
  <si>
    <t>28-Sep-25</t>
  </si>
  <si>
    <t>O0204</t>
  </si>
  <si>
    <t>14-Dec-25</t>
  </si>
  <si>
    <t>O0205</t>
  </si>
  <si>
    <t>O0206</t>
  </si>
  <si>
    <t>06-Jul-25</t>
  </si>
  <si>
    <t>05-Aug-25</t>
  </si>
  <si>
    <t>O0207</t>
  </si>
  <si>
    <t>12-Jan-25</t>
  </si>
  <si>
    <t>07-Feb-25</t>
  </si>
  <si>
    <t>O0208</t>
  </si>
  <si>
    <t>O0209</t>
  </si>
  <si>
    <t>O0210</t>
  </si>
  <si>
    <t>O0211</t>
  </si>
  <si>
    <t>O0212</t>
  </si>
  <si>
    <t>O0213</t>
  </si>
  <si>
    <t>O0214</t>
  </si>
  <si>
    <t>O0215</t>
  </si>
  <si>
    <t>06-Oct-25</t>
  </si>
  <si>
    <t>O0216</t>
  </si>
  <si>
    <t>08-Feb-25</t>
  </si>
  <si>
    <t>O0217</t>
  </si>
  <si>
    <t>Nichal Traders</t>
  </si>
  <si>
    <t>13-Jan-26</t>
  </si>
  <si>
    <t>31-Dec-25</t>
  </si>
  <si>
    <t>O0218</t>
  </si>
  <si>
    <t>14-Jun-25</t>
  </si>
  <si>
    <t>O0219</t>
  </si>
  <si>
    <t>O0220</t>
  </si>
  <si>
    <t>Kulkarni Stores</t>
  </si>
  <si>
    <t>O0221</t>
  </si>
  <si>
    <t>Lokare Traders</t>
  </si>
  <si>
    <t>17-Jun-25</t>
  </si>
  <si>
    <t>O0222</t>
  </si>
  <si>
    <t>25-Dec-25</t>
  </si>
  <si>
    <t>26-Jan-26</t>
  </si>
  <si>
    <t>O0223</t>
  </si>
  <si>
    <t>O0224</t>
  </si>
  <si>
    <t>12-Sep-25</t>
  </si>
  <si>
    <t>O0225</t>
  </si>
  <si>
    <t>O0226</t>
  </si>
  <si>
    <t>05-Sep-25</t>
  </si>
  <si>
    <t>O0227</t>
  </si>
  <si>
    <t>16-Sep-25</t>
  </si>
  <si>
    <t>O0228</t>
  </si>
  <si>
    <t>08-Nov-25</t>
  </si>
  <si>
    <t>O0229</t>
  </si>
  <si>
    <t>O0230</t>
  </si>
  <si>
    <t>O0231</t>
  </si>
  <si>
    <t>O0232</t>
  </si>
  <si>
    <t>O0233</t>
  </si>
  <si>
    <t>O0234</t>
  </si>
  <si>
    <t>08-Mar-25</t>
  </si>
  <si>
    <t>O0235</t>
  </si>
  <si>
    <t>O0236</t>
  </si>
  <si>
    <t>O0237</t>
  </si>
  <si>
    <t>O0238</t>
  </si>
  <si>
    <t>O0239</t>
  </si>
  <si>
    <t>O0240</t>
  </si>
  <si>
    <t>O0241</t>
  </si>
  <si>
    <t>O0242</t>
  </si>
  <si>
    <t>O0243</t>
  </si>
  <si>
    <t>O0244</t>
  </si>
  <si>
    <t>O0245</t>
  </si>
  <si>
    <t>O0246</t>
  </si>
  <si>
    <t>13-Oct-25</t>
  </si>
  <si>
    <t>O0247</t>
  </si>
  <si>
    <t>O0248</t>
  </si>
  <si>
    <t>O0249</t>
  </si>
  <si>
    <t>O0250</t>
  </si>
  <si>
    <t>11-Aug-25</t>
  </si>
  <si>
    <t>O0251</t>
  </si>
  <si>
    <t>O0252</t>
  </si>
  <si>
    <t>Das Kirana Bhandar</t>
  </si>
  <si>
    <t>O0253</t>
  </si>
  <si>
    <t>27-Jan-25</t>
  </si>
  <si>
    <t>O0254</t>
  </si>
  <si>
    <t>O0255</t>
  </si>
  <si>
    <t>14-Oct-25</t>
  </si>
  <si>
    <t>O0256</t>
  </si>
  <si>
    <t>O0257</t>
  </si>
  <si>
    <t>O0258</t>
  </si>
  <si>
    <t>O0259</t>
  </si>
  <si>
    <t>30-Jun-25</t>
  </si>
  <si>
    <t>O0260</t>
  </si>
  <si>
    <t>O0261</t>
  </si>
  <si>
    <t>O0262</t>
  </si>
  <si>
    <t>Wagmare Retail</t>
  </si>
  <si>
    <t>O0263</t>
  </si>
  <si>
    <t>Wagh Retail</t>
  </si>
  <si>
    <t>O0264</t>
  </si>
  <si>
    <t>O0265</t>
  </si>
  <si>
    <t>O0266</t>
  </si>
  <si>
    <t>O0267</t>
  </si>
  <si>
    <t>O0268</t>
  </si>
  <si>
    <t>O0269</t>
  </si>
  <si>
    <t>19-Mar-25</t>
  </si>
  <si>
    <t>O0270</t>
  </si>
  <si>
    <t>Chougule Kirana</t>
  </si>
  <si>
    <t>O0271</t>
  </si>
  <si>
    <t>O0272</t>
  </si>
  <si>
    <t>13-Aug-25</t>
  </si>
  <si>
    <t>O0273</t>
  </si>
  <si>
    <t>22-Nov-25</t>
  </si>
  <si>
    <t>O0274</t>
  </si>
  <si>
    <t>Reddy Provision Store</t>
  </si>
  <si>
    <t>O0275</t>
  </si>
  <si>
    <t>O0276</t>
  </si>
  <si>
    <t>27-Sep-25</t>
  </si>
  <si>
    <t>O0277</t>
  </si>
  <si>
    <t>O0278</t>
  </si>
  <si>
    <t>O0279</t>
  </si>
  <si>
    <t>28-Jun-25</t>
  </si>
  <si>
    <t>O0280</t>
  </si>
  <si>
    <t>O0281</t>
  </si>
  <si>
    <t>O0282</t>
  </si>
  <si>
    <t>O0283</t>
  </si>
  <si>
    <t>12-Jun-25</t>
  </si>
  <si>
    <t>12-Jul-25</t>
  </si>
  <si>
    <t>O0284</t>
  </si>
  <si>
    <t>O0285</t>
  </si>
  <si>
    <t>Chakraborty Stores</t>
  </si>
  <si>
    <t>O0286</t>
  </si>
  <si>
    <t>O0287</t>
  </si>
  <si>
    <t>22-Jan-25</t>
  </si>
  <si>
    <t>24-Jan-25</t>
  </si>
  <si>
    <t>O0288</t>
  </si>
  <si>
    <t>O0289</t>
  </si>
  <si>
    <t>O0290</t>
  </si>
  <si>
    <t>O0291</t>
  </si>
  <si>
    <t>O0292</t>
  </si>
  <si>
    <t>O0293</t>
  </si>
  <si>
    <t>15-Jan-26</t>
  </si>
  <si>
    <t>O0294</t>
  </si>
  <si>
    <t>O0295</t>
  </si>
  <si>
    <t>O0296</t>
  </si>
  <si>
    <t>22-Jul-25</t>
  </si>
  <si>
    <t>O0297</t>
  </si>
  <si>
    <t>O0298</t>
  </si>
  <si>
    <t>O0299</t>
  </si>
  <si>
    <t>O0300</t>
  </si>
  <si>
    <t>11-Feb-25</t>
  </si>
  <si>
    <t>13-Mar-25</t>
  </si>
  <si>
    <t>O0301</t>
  </si>
  <si>
    <t>O0302</t>
  </si>
  <si>
    <t>O0303</t>
  </si>
  <si>
    <t>O0304</t>
  </si>
  <si>
    <t>O0305</t>
  </si>
  <si>
    <t>O0306</t>
  </si>
  <si>
    <t>O0307</t>
  </si>
  <si>
    <t>O0308</t>
  </si>
  <si>
    <t>Oberoi Retail</t>
  </si>
  <si>
    <t>O0309</t>
  </si>
  <si>
    <t>O0310</t>
  </si>
  <si>
    <t>O0311</t>
  </si>
  <si>
    <t>O0312</t>
  </si>
  <si>
    <t>O0313</t>
  </si>
  <si>
    <t>O0314</t>
  </si>
  <si>
    <t>O0315</t>
  </si>
  <si>
    <t>23-Jan-26</t>
  </si>
  <si>
    <t>O0316</t>
  </si>
  <si>
    <t>O0317</t>
  </si>
  <si>
    <t>O0318</t>
  </si>
  <si>
    <t>04-Jun-25</t>
  </si>
  <si>
    <t>O0319</t>
  </si>
  <si>
    <t>Zarekar Traders</t>
  </si>
  <si>
    <t>O0320</t>
  </si>
  <si>
    <t>O0321</t>
  </si>
  <si>
    <t>O0322</t>
  </si>
  <si>
    <t>O0323</t>
  </si>
  <si>
    <t>O0324</t>
  </si>
  <si>
    <t>O0325</t>
  </si>
  <si>
    <t>O0326</t>
  </si>
  <si>
    <t>Ingale Traders</t>
  </si>
  <si>
    <t>06-Feb-25</t>
  </si>
  <si>
    <t>O0327</t>
  </si>
  <si>
    <t>O0328</t>
  </si>
  <si>
    <t>O0329</t>
  </si>
  <si>
    <t>O0330</t>
  </si>
  <si>
    <t>05-Feb-25</t>
  </si>
  <si>
    <t>07-Mar-25</t>
  </si>
  <si>
    <t>O0331</t>
  </si>
  <si>
    <t>O0332</t>
  </si>
  <si>
    <t>O0333</t>
  </si>
  <si>
    <t>O0334</t>
  </si>
  <si>
    <t>O0335</t>
  </si>
  <si>
    <t>14-Aug-25</t>
  </si>
  <si>
    <t>O0336</t>
  </si>
  <si>
    <t>22-Jan-26</t>
  </si>
  <si>
    <t>30-Jan-26</t>
  </si>
  <si>
    <t>O0337</t>
  </si>
  <si>
    <t>06-Aug-25</t>
  </si>
  <si>
    <t>O0338</t>
  </si>
  <si>
    <t>Malhotra Kirana</t>
  </si>
  <si>
    <t>O0339</t>
  </si>
  <si>
    <t>O0340</t>
  </si>
  <si>
    <t>19-Jan-26</t>
  </si>
  <si>
    <t>O0341</t>
  </si>
  <si>
    <t>O0342</t>
  </si>
  <si>
    <t>O0343</t>
  </si>
  <si>
    <t>O0344</t>
  </si>
  <si>
    <t>O0345</t>
  </si>
  <si>
    <t>O0346</t>
  </si>
  <si>
    <t>O0347</t>
  </si>
  <si>
    <t>O0348</t>
  </si>
  <si>
    <t>O0349</t>
  </si>
  <si>
    <t>O0350</t>
  </si>
  <si>
    <t>O0351</t>
  </si>
  <si>
    <t>O0352</t>
  </si>
  <si>
    <t>O0353</t>
  </si>
  <si>
    <t>O0354</t>
  </si>
  <si>
    <t>27-Jan-26</t>
  </si>
  <si>
    <t>O0355</t>
  </si>
  <si>
    <t>26-May-25</t>
  </si>
  <si>
    <t>O0356</t>
  </si>
  <si>
    <t>O0357</t>
  </si>
  <si>
    <t>O0358</t>
  </si>
  <si>
    <t>O0359</t>
  </si>
  <si>
    <t>O0360</t>
  </si>
  <si>
    <t>09-Jan-26</t>
  </si>
  <si>
    <t>O0361</t>
  </si>
  <si>
    <t>O0362</t>
  </si>
  <si>
    <t>O0363</t>
  </si>
  <si>
    <t>O0364</t>
  </si>
  <si>
    <t>O0365</t>
  </si>
  <si>
    <t>O0366</t>
  </si>
  <si>
    <t>O0367</t>
  </si>
  <si>
    <t>O0368</t>
  </si>
  <si>
    <t>O0369</t>
  </si>
  <si>
    <t>O0370</t>
  </si>
  <si>
    <t>O0371</t>
  </si>
  <si>
    <t>O0372</t>
  </si>
  <si>
    <t>O0373</t>
  </si>
  <si>
    <t>O0374</t>
  </si>
  <si>
    <t>O0375</t>
  </si>
  <si>
    <t>O0376</t>
  </si>
  <si>
    <t>O0377</t>
  </si>
  <si>
    <t>O0378</t>
  </si>
  <si>
    <t>O0379</t>
  </si>
  <si>
    <t>O0380</t>
  </si>
  <si>
    <t>O0381</t>
  </si>
  <si>
    <t>O0382</t>
  </si>
  <si>
    <t>O0383</t>
  </si>
  <si>
    <t>O0384</t>
  </si>
  <si>
    <t>O0385</t>
  </si>
  <si>
    <t>O0386</t>
  </si>
  <si>
    <t>O0387</t>
  </si>
  <si>
    <t>Naik Provision Bhandar</t>
  </si>
  <si>
    <t>O0388</t>
  </si>
  <si>
    <t>O0389</t>
  </si>
  <si>
    <t>22-Jun-25</t>
  </si>
  <si>
    <t>O0390</t>
  </si>
  <si>
    <t>O0391</t>
  </si>
  <si>
    <t>O0392</t>
  </si>
  <si>
    <t>O0393</t>
  </si>
  <si>
    <t>O0394</t>
  </si>
  <si>
    <t>O0395</t>
  </si>
  <si>
    <t>O0396</t>
  </si>
  <si>
    <t>O0397</t>
  </si>
  <si>
    <t>14-Jul-25</t>
  </si>
  <si>
    <t>O0398</t>
  </si>
  <si>
    <t>18-Apr-25</t>
  </si>
  <si>
    <t>O0399</t>
  </si>
  <si>
    <t>O0400</t>
  </si>
  <si>
    <t>O0401</t>
  </si>
  <si>
    <t>07-Jan-26</t>
  </si>
  <si>
    <t>O0402</t>
  </si>
  <si>
    <t>O0403</t>
  </si>
  <si>
    <t>O0404</t>
  </si>
  <si>
    <t>O0405</t>
  </si>
  <si>
    <t>O0406</t>
  </si>
  <si>
    <t>O0407</t>
  </si>
  <si>
    <t>O0408</t>
  </si>
  <si>
    <t>O0409</t>
  </si>
  <si>
    <t>O0410</t>
  </si>
  <si>
    <t>O0411</t>
  </si>
  <si>
    <t>O0412</t>
  </si>
  <si>
    <t>Hiremath Retail</t>
  </si>
  <si>
    <t>O0413</t>
  </si>
  <si>
    <t>30-Aug-25</t>
  </si>
  <si>
    <t>O0414</t>
  </si>
  <si>
    <t>O0415</t>
  </si>
  <si>
    <t>O0416</t>
  </si>
  <si>
    <t>O0417</t>
  </si>
  <si>
    <t>O0418</t>
  </si>
  <si>
    <t>O0419</t>
  </si>
  <si>
    <t>O0420</t>
  </si>
  <si>
    <t>O0421</t>
  </si>
  <si>
    <t>O0422</t>
  </si>
  <si>
    <t>O0423</t>
  </si>
  <si>
    <t>08-Jan-25</t>
  </si>
  <si>
    <t>11-Jan-25</t>
  </si>
  <si>
    <t>O0424</t>
  </si>
  <si>
    <t>02-Feb-26</t>
  </si>
  <si>
    <t>O0425</t>
  </si>
  <si>
    <t>O0426</t>
  </si>
  <si>
    <t>O0427</t>
  </si>
  <si>
    <t>O0428</t>
  </si>
  <si>
    <t>O0429</t>
  </si>
  <si>
    <t>O0430</t>
  </si>
  <si>
    <t>10-Feb-26</t>
  </si>
  <si>
    <t>O0431</t>
  </si>
  <si>
    <t>O0432</t>
  </si>
  <si>
    <t>O0433</t>
  </si>
  <si>
    <t>O0434</t>
  </si>
  <si>
    <t>O0435</t>
  </si>
  <si>
    <t>O0436</t>
  </si>
  <si>
    <t>O0437</t>
  </si>
  <si>
    <t>O0438</t>
  </si>
  <si>
    <t>O0439</t>
  </si>
  <si>
    <t>O0440</t>
  </si>
  <si>
    <t>O0441</t>
  </si>
  <si>
    <t>O0442</t>
  </si>
  <si>
    <t>O0443</t>
  </si>
  <si>
    <t>O0444</t>
  </si>
  <si>
    <t>O0445</t>
  </si>
  <si>
    <t>O0446</t>
  </si>
  <si>
    <t>O0447</t>
  </si>
  <si>
    <t>O0448</t>
  </si>
  <si>
    <t>O0449</t>
  </si>
  <si>
    <t>O0450</t>
  </si>
  <si>
    <t>O0451</t>
  </si>
  <si>
    <t>O0452</t>
  </si>
  <si>
    <t>18-Jan-25</t>
  </si>
  <si>
    <t>20-Jan-25</t>
  </si>
  <si>
    <t>O0453</t>
  </si>
  <si>
    <t>O0454</t>
  </si>
  <si>
    <t>O0455</t>
  </si>
  <si>
    <t>O0456</t>
  </si>
  <si>
    <t>O0457</t>
  </si>
  <si>
    <t>O0458</t>
  </si>
  <si>
    <t>O0459</t>
  </si>
  <si>
    <t>O0460</t>
  </si>
  <si>
    <t>O0461</t>
  </si>
  <si>
    <t>O0462</t>
  </si>
  <si>
    <t>O0463</t>
  </si>
  <si>
    <t>O0464</t>
  </si>
  <si>
    <t>O0465</t>
  </si>
  <si>
    <t>O0466</t>
  </si>
  <si>
    <t>O0467</t>
  </si>
  <si>
    <t>O0468</t>
  </si>
  <si>
    <t>O0469</t>
  </si>
  <si>
    <t>O0470</t>
  </si>
  <si>
    <t>O0471</t>
  </si>
  <si>
    <t>O0472</t>
  </si>
  <si>
    <t>O0473</t>
  </si>
  <si>
    <t>O0474</t>
  </si>
  <si>
    <t>17-Mar-25</t>
  </si>
  <si>
    <t>16-Apr-25</t>
  </si>
  <si>
    <t>O0475</t>
  </si>
  <si>
    <t>O0476</t>
  </si>
  <si>
    <t>O0477</t>
  </si>
  <si>
    <t>O0478</t>
  </si>
  <si>
    <t>O0479</t>
  </si>
  <si>
    <t>O0480</t>
  </si>
  <si>
    <t>O0481</t>
  </si>
  <si>
    <t>O0482</t>
  </si>
  <si>
    <t>O0483</t>
  </si>
  <si>
    <t>O0484</t>
  </si>
  <si>
    <t>O0485</t>
  </si>
  <si>
    <t>O0486</t>
  </si>
  <si>
    <t>O0487</t>
  </si>
  <si>
    <t>23-Jul-25</t>
  </si>
  <si>
    <t>O0488</t>
  </si>
  <si>
    <t>O0489</t>
  </si>
  <si>
    <t>O0490</t>
  </si>
  <si>
    <t>O0491</t>
  </si>
  <si>
    <t>O0492</t>
  </si>
  <si>
    <t>O0493</t>
  </si>
  <si>
    <t>O0494</t>
  </si>
  <si>
    <t>O0495</t>
  </si>
  <si>
    <t>O0496</t>
  </si>
  <si>
    <t>O0497</t>
  </si>
  <si>
    <t>O0498</t>
  </si>
  <si>
    <t>O0499</t>
  </si>
  <si>
    <t>O0500</t>
  </si>
  <si>
    <t>19-Jan-25</t>
  </si>
  <si>
    <t>O0501</t>
  </si>
  <si>
    <t>O0502</t>
  </si>
  <si>
    <t>O0503</t>
  </si>
  <si>
    <t>O0504</t>
  </si>
  <si>
    <t>O0505</t>
  </si>
  <si>
    <t>O0506</t>
  </si>
  <si>
    <t>O0507</t>
  </si>
  <si>
    <t>O0508</t>
  </si>
  <si>
    <t>O0509</t>
  </si>
  <si>
    <t>O0510</t>
  </si>
  <si>
    <t>O0511</t>
  </si>
  <si>
    <t>30-Apr-25</t>
  </si>
  <si>
    <t>O0512</t>
  </si>
  <si>
    <t>O0513</t>
  </si>
  <si>
    <t>O0514</t>
  </si>
  <si>
    <t>O0515</t>
  </si>
  <si>
    <t>O0516</t>
  </si>
  <si>
    <t>O0517</t>
  </si>
  <si>
    <t>O0518</t>
  </si>
  <si>
    <t>O0519</t>
  </si>
  <si>
    <t>O0520</t>
  </si>
  <si>
    <t>O0521</t>
  </si>
  <si>
    <t>O0522</t>
  </si>
  <si>
    <t>O0523</t>
  </si>
  <si>
    <t>O0524</t>
  </si>
  <si>
    <t>O0525</t>
  </si>
  <si>
    <t>O0526</t>
  </si>
  <si>
    <t>O0527</t>
  </si>
  <si>
    <t>O0528</t>
  </si>
  <si>
    <t>O0529</t>
  </si>
  <si>
    <t>O0530</t>
  </si>
  <si>
    <t>O0531</t>
  </si>
  <si>
    <t>O0532</t>
  </si>
  <si>
    <t>O0533</t>
  </si>
  <si>
    <t>O0534</t>
  </si>
  <si>
    <t>O0535</t>
  </si>
  <si>
    <t>O0536</t>
  </si>
  <si>
    <t>O0537</t>
  </si>
  <si>
    <t>O0538</t>
  </si>
  <si>
    <t>O0539</t>
  </si>
  <si>
    <t>O0540</t>
  </si>
  <si>
    <t>O0541</t>
  </si>
  <si>
    <t>O0542</t>
  </si>
  <si>
    <t>O0543</t>
  </si>
  <si>
    <t>O0544</t>
  </si>
  <si>
    <t>O0545</t>
  </si>
  <si>
    <t>O0546</t>
  </si>
  <si>
    <t>O0547</t>
  </si>
  <si>
    <t>O0548</t>
  </si>
  <si>
    <t>O0549</t>
  </si>
  <si>
    <t>O0550</t>
  </si>
  <si>
    <t>O0551</t>
  </si>
  <si>
    <t>O0552</t>
  </si>
  <si>
    <t>O0553</t>
  </si>
  <si>
    <t>Zagade Traders</t>
  </si>
  <si>
    <t>O0554</t>
  </si>
  <si>
    <t>O0555</t>
  </si>
  <si>
    <t>O0556</t>
  </si>
  <si>
    <t>O0557</t>
  </si>
  <si>
    <t>31-Jan-26</t>
  </si>
  <si>
    <t>24-Jan-26</t>
  </si>
  <si>
    <t>O0558</t>
  </si>
  <si>
    <t>O0559</t>
  </si>
  <si>
    <t>O0560</t>
  </si>
  <si>
    <t>02-Mar-25</t>
  </si>
  <si>
    <t>O0561</t>
  </si>
  <si>
    <t>O0562</t>
  </si>
  <si>
    <t>O0563</t>
  </si>
  <si>
    <t>O0564</t>
  </si>
  <si>
    <t>O0565</t>
  </si>
  <si>
    <t>O0566</t>
  </si>
  <si>
    <t>O0567</t>
  </si>
  <si>
    <t>O0568</t>
  </si>
  <si>
    <t>O0569</t>
  </si>
  <si>
    <t>O0570</t>
  </si>
  <si>
    <t>O0571</t>
  </si>
  <si>
    <t>O0572</t>
  </si>
  <si>
    <t>O0573</t>
  </si>
  <si>
    <t>O0574</t>
  </si>
  <si>
    <t>O0575</t>
  </si>
  <si>
    <t>O0576</t>
  </si>
  <si>
    <t>O0577</t>
  </si>
  <si>
    <t>O0578</t>
  </si>
  <si>
    <t>O0579</t>
  </si>
  <si>
    <t>O0580</t>
  </si>
  <si>
    <t>O0581</t>
  </si>
  <si>
    <t>O0582</t>
  </si>
  <si>
    <t>01-Jan-25</t>
  </si>
  <si>
    <t>03-Jan-25</t>
  </si>
  <si>
    <t>O0583</t>
  </si>
  <si>
    <t>O0584</t>
  </si>
  <si>
    <t>O0585</t>
  </si>
  <si>
    <t>O0586</t>
  </si>
  <si>
    <t>O0587</t>
  </si>
  <si>
    <t>O0588</t>
  </si>
  <si>
    <t>O0589</t>
  </si>
  <si>
    <t>O0590</t>
  </si>
  <si>
    <t>O0591</t>
  </si>
  <si>
    <t>O0592</t>
  </si>
  <si>
    <t>O0593</t>
  </si>
  <si>
    <t>O0594</t>
  </si>
  <si>
    <t>O0595</t>
  </si>
  <si>
    <t>O0596</t>
  </si>
  <si>
    <t>O0597</t>
  </si>
  <si>
    <t>O0598</t>
  </si>
  <si>
    <t>O0599</t>
  </si>
  <si>
    <t>O0600</t>
  </si>
  <si>
    <t>O0601</t>
  </si>
  <si>
    <t>O0602</t>
  </si>
  <si>
    <t>O0603</t>
  </si>
  <si>
    <t>O0604</t>
  </si>
  <si>
    <t>O0605</t>
  </si>
  <si>
    <t>O0606</t>
  </si>
  <si>
    <t>14-Feb-26</t>
  </si>
  <si>
    <t>O0607</t>
  </si>
  <si>
    <t>O0608</t>
  </si>
  <si>
    <t>O0609</t>
  </si>
  <si>
    <t>O0610</t>
  </si>
  <si>
    <t>O0611</t>
  </si>
  <si>
    <t>O0612</t>
  </si>
  <si>
    <t>O0613</t>
  </si>
  <si>
    <t>06-Jan-25</t>
  </si>
  <si>
    <t>07-Jan-25</t>
  </si>
  <si>
    <t>O0614</t>
  </si>
  <si>
    <t>O0615</t>
  </si>
  <si>
    <t>O0616</t>
  </si>
  <si>
    <t>21-Jun-25</t>
  </si>
  <si>
    <t>O0617</t>
  </si>
  <si>
    <t>O0618</t>
  </si>
  <si>
    <t>O0619</t>
  </si>
  <si>
    <t>O0620</t>
  </si>
  <si>
    <t>O0621</t>
  </si>
  <si>
    <t>O0622</t>
  </si>
  <si>
    <t>O0623</t>
  </si>
  <si>
    <t>O0624</t>
  </si>
  <si>
    <t>O0625</t>
  </si>
  <si>
    <t>O0626</t>
  </si>
  <si>
    <t>O0627</t>
  </si>
  <si>
    <t>15-May-25</t>
  </si>
  <si>
    <t>O0628</t>
  </si>
  <si>
    <t>O0629</t>
  </si>
  <si>
    <t>O0630</t>
  </si>
  <si>
    <t>O0631</t>
  </si>
  <si>
    <t>O0632</t>
  </si>
  <si>
    <t>O0633</t>
  </si>
  <si>
    <t>O0634</t>
  </si>
  <si>
    <t>01-Feb-26</t>
  </si>
  <si>
    <t>O0635</t>
  </si>
  <si>
    <t>O0636</t>
  </si>
  <si>
    <t>O0637</t>
  </si>
  <si>
    <t>O0638</t>
  </si>
  <si>
    <t>O0639</t>
  </si>
  <si>
    <t>O0640</t>
  </si>
  <si>
    <t>O0641</t>
  </si>
  <si>
    <t>O0642</t>
  </si>
  <si>
    <t>O0643</t>
  </si>
  <si>
    <t>O0644</t>
  </si>
  <si>
    <t>O0645</t>
  </si>
  <si>
    <t>O0646</t>
  </si>
  <si>
    <t>O0647</t>
  </si>
  <si>
    <t>O0648</t>
  </si>
  <si>
    <t>O0649</t>
  </si>
  <si>
    <t>O0650</t>
  </si>
  <si>
    <t>O0651</t>
  </si>
  <si>
    <t>O0652</t>
  </si>
  <si>
    <t>O0653</t>
  </si>
  <si>
    <t>O0654</t>
  </si>
  <si>
    <t>O0655</t>
  </si>
  <si>
    <t>O0656</t>
  </si>
  <si>
    <t>O0657</t>
  </si>
  <si>
    <t>O0658</t>
  </si>
  <si>
    <t>O0659</t>
  </si>
  <si>
    <t>O0660</t>
  </si>
  <si>
    <t>O0661</t>
  </si>
  <si>
    <t>O0662</t>
  </si>
  <si>
    <t>O0663</t>
  </si>
  <si>
    <t>O0664</t>
  </si>
  <si>
    <t>O0665</t>
  </si>
  <si>
    <t>O0666</t>
  </si>
  <si>
    <t>O0667</t>
  </si>
  <si>
    <t>O0668</t>
  </si>
  <si>
    <t>O0669</t>
  </si>
  <si>
    <t>O0670</t>
  </si>
  <si>
    <t>O0671</t>
  </si>
  <si>
    <t>O0672</t>
  </si>
  <si>
    <t>O0673</t>
  </si>
  <si>
    <t>O0674</t>
  </si>
  <si>
    <t>O0675</t>
  </si>
  <si>
    <t>O0676</t>
  </si>
  <si>
    <t>O0677</t>
  </si>
  <si>
    <t>O0678</t>
  </si>
  <si>
    <t>O0679</t>
  </si>
  <si>
    <t>28-Jan-26</t>
  </si>
  <si>
    <t>O0680</t>
  </si>
  <si>
    <t>O0681</t>
  </si>
  <si>
    <t>O0682</t>
  </si>
  <si>
    <t>O0683</t>
  </si>
  <si>
    <t>O0684</t>
  </si>
  <si>
    <t>O0685</t>
  </si>
  <si>
    <t>O0686</t>
  </si>
  <si>
    <t>O0687</t>
  </si>
  <si>
    <t>O0688</t>
  </si>
  <si>
    <t>O0689</t>
  </si>
  <si>
    <t>O0690</t>
  </si>
  <si>
    <t>O0691</t>
  </si>
  <si>
    <t>O0692</t>
  </si>
  <si>
    <t>O0693</t>
  </si>
  <si>
    <t>O0694</t>
  </si>
  <si>
    <t>O0695</t>
  </si>
  <si>
    <t>28-Jan-25</t>
  </si>
  <si>
    <t>O0696</t>
  </si>
  <si>
    <t>O0697</t>
  </si>
  <si>
    <t>29-Mar-25</t>
  </si>
  <si>
    <t>O0698</t>
  </si>
  <si>
    <t>O0699</t>
  </si>
  <si>
    <t>O0700</t>
  </si>
  <si>
    <t>O0701</t>
  </si>
  <si>
    <t>O0702</t>
  </si>
  <si>
    <t>O0703</t>
  </si>
  <si>
    <t>O0704</t>
  </si>
  <si>
    <t>O0705</t>
  </si>
  <si>
    <t>O0706</t>
  </si>
  <si>
    <t>O0707</t>
  </si>
  <si>
    <t>O0708</t>
  </si>
  <si>
    <t>O0709</t>
  </si>
  <si>
    <t>O0710</t>
  </si>
  <si>
    <t>O0711</t>
  </si>
  <si>
    <t>O0712</t>
  </si>
  <si>
    <t>O0713</t>
  </si>
  <si>
    <t>O0714</t>
  </si>
  <si>
    <t>O0715</t>
  </si>
  <si>
    <t>O0716</t>
  </si>
  <si>
    <t>O0717</t>
  </si>
  <si>
    <t>O0718</t>
  </si>
  <si>
    <t>O0719</t>
  </si>
  <si>
    <t>O0720</t>
  </si>
  <si>
    <t>O0721</t>
  </si>
  <si>
    <t>O0722</t>
  </si>
  <si>
    <t>O0723</t>
  </si>
  <si>
    <t>O0724</t>
  </si>
  <si>
    <t>O0725</t>
  </si>
  <si>
    <t>O0726</t>
  </si>
  <si>
    <t>O0727</t>
  </si>
  <si>
    <t>O0728</t>
  </si>
  <si>
    <t>O0729</t>
  </si>
  <si>
    <t>O0730</t>
  </si>
  <si>
    <t>O0731</t>
  </si>
  <si>
    <t>O0732</t>
  </si>
  <si>
    <t>O0733</t>
  </si>
  <si>
    <t>O0734</t>
  </si>
  <si>
    <t>O0735</t>
  </si>
  <si>
    <t>O0736</t>
  </si>
  <si>
    <t>O0737</t>
  </si>
  <si>
    <t>O0738</t>
  </si>
  <si>
    <t>O0739</t>
  </si>
  <si>
    <t>O0740</t>
  </si>
  <si>
    <t>O0741</t>
  </si>
  <si>
    <t>O0742</t>
  </si>
  <si>
    <t>O0743</t>
  </si>
  <si>
    <t>O0744</t>
  </si>
  <si>
    <t>O0745</t>
  </si>
  <si>
    <t>O0746</t>
  </si>
  <si>
    <t>O0747</t>
  </si>
  <si>
    <t>O0748</t>
  </si>
  <si>
    <t>O0749</t>
  </si>
  <si>
    <t>O0750</t>
  </si>
  <si>
    <t>O0751</t>
  </si>
  <si>
    <t>O0752</t>
  </si>
  <si>
    <t>O0753</t>
  </si>
  <si>
    <t>O0754</t>
  </si>
  <si>
    <t>O0755</t>
  </si>
  <si>
    <t>O0756</t>
  </si>
  <si>
    <t>O0757</t>
  </si>
  <si>
    <t>O0758</t>
  </si>
  <si>
    <t>O0759</t>
  </si>
  <si>
    <t>O0760</t>
  </si>
  <si>
    <t>O0761</t>
  </si>
  <si>
    <t>O0762</t>
  </si>
  <si>
    <t>O0763</t>
  </si>
  <si>
    <t>O0764</t>
  </si>
  <si>
    <t>O0765</t>
  </si>
  <si>
    <t>O0766</t>
  </si>
  <si>
    <t>O0767</t>
  </si>
  <si>
    <t>O0768</t>
  </si>
  <si>
    <t>O0769</t>
  </si>
  <si>
    <t>O0770</t>
  </si>
  <si>
    <t>O0771</t>
  </si>
  <si>
    <t>O0772</t>
  </si>
  <si>
    <t>O0773</t>
  </si>
  <si>
    <t>O0774</t>
  </si>
  <si>
    <t>O0775</t>
  </si>
  <si>
    <t>O0776</t>
  </si>
  <si>
    <t>O0777</t>
  </si>
  <si>
    <t>O0778</t>
  </si>
  <si>
    <t>O0779</t>
  </si>
  <si>
    <t>O0780</t>
  </si>
  <si>
    <t>O0781</t>
  </si>
  <si>
    <t>O0782</t>
  </si>
  <si>
    <t>O0783</t>
  </si>
  <si>
    <t>O0784</t>
  </si>
  <si>
    <t>O0785</t>
  </si>
  <si>
    <t>O0786</t>
  </si>
  <si>
    <t>O0787</t>
  </si>
  <si>
    <t>O0788</t>
  </si>
  <si>
    <t>O0789</t>
  </si>
  <si>
    <t>O0790</t>
  </si>
  <si>
    <t>O0791</t>
  </si>
  <si>
    <t>O0792</t>
  </si>
  <si>
    <t>O0793</t>
  </si>
  <si>
    <t>O0794</t>
  </si>
  <si>
    <t>O0795</t>
  </si>
  <si>
    <t>O0796</t>
  </si>
  <si>
    <t>O0797</t>
  </si>
  <si>
    <t>O0798</t>
  </si>
  <si>
    <t>O0799</t>
  </si>
  <si>
    <t>O0800</t>
  </si>
  <si>
    <t>O0801</t>
  </si>
  <si>
    <t>O0802</t>
  </si>
  <si>
    <t>O0803</t>
  </si>
  <si>
    <t>O0804</t>
  </si>
  <si>
    <t>O0805</t>
  </si>
  <si>
    <t>O0806</t>
  </si>
  <si>
    <t>O0807</t>
  </si>
  <si>
    <t>O0808</t>
  </si>
  <si>
    <t>O0809</t>
  </si>
  <si>
    <t>O0810</t>
  </si>
  <si>
    <t>O0811</t>
  </si>
  <si>
    <t>O0812</t>
  </si>
  <si>
    <t>O0813</t>
  </si>
  <si>
    <t>O0814</t>
  </si>
  <si>
    <t>O0815</t>
  </si>
  <si>
    <t>O0816</t>
  </si>
  <si>
    <t>O0817</t>
  </si>
  <si>
    <t>O0818</t>
  </si>
  <si>
    <t>O0819</t>
  </si>
  <si>
    <t>O0820</t>
  </si>
  <si>
    <t>O0821</t>
  </si>
  <si>
    <t>O0822</t>
  </si>
  <si>
    <t>O0823</t>
  </si>
  <si>
    <t>O0824</t>
  </si>
  <si>
    <t>O0825</t>
  </si>
  <si>
    <t>O0826</t>
  </si>
  <si>
    <t>O0827</t>
  </si>
  <si>
    <t>O0828</t>
  </si>
  <si>
    <t>O0829</t>
  </si>
  <si>
    <t>O0830</t>
  </si>
  <si>
    <t>O0831</t>
  </si>
  <si>
    <t>O0832</t>
  </si>
  <si>
    <t>O0833</t>
  </si>
  <si>
    <t>O0834</t>
  </si>
  <si>
    <t>O0835</t>
  </si>
  <si>
    <t>O0836</t>
  </si>
  <si>
    <t>O0837</t>
  </si>
  <si>
    <t>O0838</t>
  </si>
  <si>
    <t>O0839</t>
  </si>
  <si>
    <t>O0840</t>
  </si>
  <si>
    <t>O0841</t>
  </si>
  <si>
    <t>O0842</t>
  </si>
  <si>
    <t>O0843</t>
  </si>
  <si>
    <t>O0844</t>
  </si>
  <si>
    <t>O0845</t>
  </si>
  <si>
    <t>O0846</t>
  </si>
  <si>
    <t>O0847</t>
  </si>
  <si>
    <t>O0848</t>
  </si>
  <si>
    <t>O0849</t>
  </si>
  <si>
    <t>O0850</t>
  </si>
  <si>
    <t>O0851</t>
  </si>
  <si>
    <t>O0852</t>
  </si>
  <si>
    <t>O0853</t>
  </si>
  <si>
    <t>O0854</t>
  </si>
  <si>
    <t>O0855</t>
  </si>
  <si>
    <t>O0856</t>
  </si>
  <si>
    <t>O0857</t>
  </si>
  <si>
    <t>O0858</t>
  </si>
  <si>
    <t>O0859</t>
  </si>
  <si>
    <t>O0860</t>
  </si>
  <si>
    <t>O0861</t>
  </si>
  <si>
    <t>O0862</t>
  </si>
  <si>
    <t>O0863</t>
  </si>
  <si>
    <t>O0864</t>
  </si>
  <si>
    <t>O0865</t>
  </si>
  <si>
    <t>O0866</t>
  </si>
  <si>
    <t>O0867</t>
  </si>
  <si>
    <t>O0868</t>
  </si>
  <si>
    <t>O0869</t>
  </si>
  <si>
    <t>O0870</t>
  </si>
  <si>
    <t>O0871</t>
  </si>
  <si>
    <t>O0872</t>
  </si>
  <si>
    <t>O0873</t>
  </si>
  <si>
    <t>O0874</t>
  </si>
  <si>
    <t>O0875</t>
  </si>
  <si>
    <t>O0876</t>
  </si>
  <si>
    <t>O0877</t>
  </si>
  <si>
    <t>O0878</t>
  </si>
  <si>
    <t>05-Feb-26</t>
  </si>
  <si>
    <t>O0879</t>
  </si>
  <si>
    <t>O0880</t>
  </si>
  <si>
    <t>O0881</t>
  </si>
  <si>
    <t>O0882</t>
  </si>
  <si>
    <t>O0883</t>
  </si>
  <si>
    <t>O0884</t>
  </si>
  <si>
    <t>O0885</t>
  </si>
  <si>
    <t>O0886</t>
  </si>
  <si>
    <t>O0887</t>
  </si>
  <si>
    <t>O0888</t>
  </si>
  <si>
    <t>O0889</t>
  </si>
  <si>
    <t>O0890</t>
  </si>
  <si>
    <t>O0891</t>
  </si>
  <si>
    <t>O0892</t>
  </si>
  <si>
    <t>O0893</t>
  </si>
  <si>
    <t>O0894</t>
  </si>
  <si>
    <t>O0895</t>
  </si>
  <si>
    <t>O0896</t>
  </si>
  <si>
    <t>O0897</t>
  </si>
  <si>
    <t>O0898</t>
  </si>
  <si>
    <t>O0899</t>
  </si>
  <si>
    <t>O0900</t>
  </si>
  <si>
    <t>O0901</t>
  </si>
  <si>
    <t>O0902</t>
  </si>
  <si>
    <t>O0903</t>
  </si>
  <si>
    <t>O0904</t>
  </si>
  <si>
    <t>O0905</t>
  </si>
  <si>
    <t>O0906</t>
  </si>
  <si>
    <t>O0907</t>
  </si>
  <si>
    <t>O0908</t>
  </si>
  <si>
    <t>O0909</t>
  </si>
  <si>
    <t>O0910</t>
  </si>
  <si>
    <t>O0911</t>
  </si>
  <si>
    <t>O0912</t>
  </si>
  <si>
    <t>O0913</t>
  </si>
  <si>
    <t>O0914</t>
  </si>
  <si>
    <t>O0915</t>
  </si>
  <si>
    <t>O0916</t>
  </si>
  <si>
    <t>O0917</t>
  </si>
  <si>
    <t>O0918</t>
  </si>
  <si>
    <t>O0919</t>
  </si>
  <si>
    <t>O0920</t>
  </si>
  <si>
    <t>O0921</t>
  </si>
  <si>
    <t>O0922</t>
  </si>
  <si>
    <t>O0923</t>
  </si>
  <si>
    <t>O0924</t>
  </si>
  <si>
    <t>O0925</t>
  </si>
  <si>
    <t>O0926</t>
  </si>
  <si>
    <t>O0927</t>
  </si>
  <si>
    <t>O0928</t>
  </si>
  <si>
    <t>O0929</t>
  </si>
  <si>
    <t>O0930</t>
  </si>
  <si>
    <t>O0931</t>
  </si>
  <si>
    <t>O0932</t>
  </si>
  <si>
    <t>O0933</t>
  </si>
  <si>
    <t>O0934</t>
  </si>
  <si>
    <t>O0935</t>
  </si>
  <si>
    <t>O0936</t>
  </si>
  <si>
    <t>O0937</t>
  </si>
  <si>
    <t>O0938</t>
  </si>
  <si>
    <t>O0939</t>
  </si>
  <si>
    <t>O0940</t>
  </si>
  <si>
    <t>O0941</t>
  </si>
  <si>
    <t>O0942</t>
  </si>
  <si>
    <t>O0943</t>
  </si>
  <si>
    <t>O0944</t>
  </si>
  <si>
    <t>O0945</t>
  </si>
  <si>
    <t>05-Jan-25</t>
  </si>
  <si>
    <t>O0946</t>
  </si>
  <si>
    <t>O0947</t>
  </si>
  <si>
    <t>O0948</t>
  </si>
  <si>
    <t>O0949</t>
  </si>
  <si>
    <t>O0950</t>
  </si>
  <si>
    <t>O0951</t>
  </si>
  <si>
    <t>O0952</t>
  </si>
  <si>
    <t>O0953</t>
  </si>
  <si>
    <t>O0954</t>
  </si>
  <si>
    <t>O0955</t>
  </si>
  <si>
    <t>O0956</t>
  </si>
  <si>
    <t>O0957</t>
  </si>
  <si>
    <t>O0958</t>
  </si>
  <si>
    <t>O0959</t>
  </si>
  <si>
    <t>O0960</t>
  </si>
  <si>
    <t>O0961</t>
  </si>
  <si>
    <t>O0962</t>
  </si>
  <si>
    <t>O0963</t>
  </si>
  <si>
    <t>O0964</t>
  </si>
  <si>
    <t>O0965</t>
  </si>
  <si>
    <t>O0966</t>
  </si>
  <si>
    <t>O0967</t>
  </si>
  <si>
    <t>O0968</t>
  </si>
  <si>
    <t>O0969</t>
  </si>
  <si>
    <t>O0970</t>
  </si>
  <si>
    <t>O0971</t>
  </si>
  <si>
    <t>O0972</t>
  </si>
  <si>
    <t>O0973</t>
  </si>
  <si>
    <t>O0974</t>
  </si>
  <si>
    <t>O0975</t>
  </si>
  <si>
    <t>O0976</t>
  </si>
  <si>
    <t>O0977</t>
  </si>
  <si>
    <t>O0978</t>
  </si>
  <si>
    <t>O0979</t>
  </si>
  <si>
    <t>06-Feb-26</t>
  </si>
  <si>
    <t>O0980</t>
  </si>
  <si>
    <t>O0981</t>
  </si>
  <si>
    <t>O0982</t>
  </si>
  <si>
    <t>O0983</t>
  </si>
  <si>
    <t>O0984</t>
  </si>
  <si>
    <t>O0985</t>
  </si>
  <si>
    <t>O0986</t>
  </si>
  <si>
    <t>O0987</t>
  </si>
  <si>
    <t>O0988</t>
  </si>
  <si>
    <t>O0989</t>
  </si>
  <si>
    <t>O0990</t>
  </si>
  <si>
    <t>O0991</t>
  </si>
  <si>
    <t>O0992</t>
  </si>
  <si>
    <t>O0993</t>
  </si>
  <si>
    <t>O0994</t>
  </si>
  <si>
    <t>O0995</t>
  </si>
  <si>
    <t>O0996</t>
  </si>
  <si>
    <t>O0997</t>
  </si>
  <si>
    <t>O0998</t>
  </si>
  <si>
    <t>O0999</t>
  </si>
  <si>
    <t>O1000</t>
  </si>
  <si>
    <t>Days to invoice</t>
  </si>
  <si>
    <t>CollectionDays</t>
  </si>
  <si>
    <t>Outstanding Amount</t>
  </si>
  <si>
    <t>Aging Bucket</t>
  </si>
  <si>
    <t>Total Revenue</t>
  </si>
  <si>
    <t>Total Collections</t>
  </si>
  <si>
    <t>Collection Efficiency %</t>
  </si>
  <si>
    <t>Fulfillment Rate %</t>
  </si>
  <si>
    <t>Average Collection Days</t>
  </si>
  <si>
    <t>Daily Sales Outstanding(DSO)</t>
  </si>
  <si>
    <t>Row Labels</t>
  </si>
  <si>
    <t>Grand Total</t>
  </si>
  <si>
    <t>Sum of OrderValue</t>
  </si>
  <si>
    <t>Sum of Revenue</t>
  </si>
  <si>
    <t>Revenue by Region</t>
  </si>
  <si>
    <t>Sum of AmountPaid</t>
  </si>
  <si>
    <t>Collection By Region</t>
  </si>
  <si>
    <t>Sum of Outstanding Amount</t>
  </si>
  <si>
    <t>Outstanding by Customer</t>
  </si>
  <si>
    <t>0-30 Days</t>
  </si>
  <si>
    <t>31-60 Days</t>
  </si>
  <si>
    <t>90+ Days</t>
  </si>
  <si>
    <t>Aging Analysis</t>
  </si>
  <si>
    <t>OutstandingAmount</t>
  </si>
  <si>
    <t>Collection Efficiency</t>
  </si>
  <si>
    <t>DSO</t>
  </si>
  <si>
    <t>Month</t>
  </si>
  <si>
    <t>Jan</t>
  </si>
  <si>
    <t>Feb</t>
  </si>
  <si>
    <t>Mar</t>
  </si>
  <si>
    <t>Apr</t>
  </si>
  <si>
    <t>May</t>
  </si>
  <si>
    <t>Jun</t>
  </si>
  <si>
    <t>Jul</t>
  </si>
  <si>
    <t>Aug</t>
  </si>
  <si>
    <t>Sep</t>
  </si>
  <si>
    <t>Oct</t>
  </si>
  <si>
    <t>Nov</t>
  </si>
  <si>
    <t>Dec</t>
  </si>
  <si>
    <t>Monthly Revenue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</si>
</sst>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3" x14ac:knownFonts="1">
    <font>
      <sz val="11"/>
      <color theme="1"/>
      <name val="Calibri"/>
      <family val="2"/>
      <scheme val="minor"/>
    </font>
    <font>
      <b/>
      <sz val="11"/>
      <color rgb="FFFFFFFF"/>
      <name val="Arial"/>
    </font>
    <font>
      <sz val="10"/>
      <name val="Arial"/>
    </font>
    <font>
      <sz val="10"/>
      <color rgb="FF276221"/>
      <name val="Arial"/>
    </font>
    <font>
      <sz val="10"/>
      <color rgb="FF9C6500"/>
      <name val="Arial"/>
    </font>
    <font>
      <sz val="10"/>
      <color rgb="FF9C0006"/>
      <name val="Arial"/>
    </font>
    <font>
      <sz val="10"/>
      <color rgb="FF375623"/>
      <name val="Arial"/>
    </font>
    <font>
      <sz val="10"/>
      <color rgb="FF1F4E79"/>
      <name val="Arial"/>
    </font>
    <font>
      <sz val="10"/>
      <color rgb="FF833C00"/>
      <name val="Arial"/>
    </font>
    <font>
      <sz val="11"/>
      <color theme="1"/>
      <name val="Calibri"/>
      <family val="2"/>
      <scheme val="minor"/>
    </font>
    <font>
      <b/>
      <sz val="11"/>
      <color theme="1"/>
      <name val="Calibri"/>
      <family val="2"/>
      <scheme val="minor"/>
    </font>
    <font>
      <b/>
      <sz val="22"/>
      <color theme="1"/>
      <name val="Calibri"/>
      <family val="2"/>
      <scheme val="minor"/>
    </font>
    <font>
      <b/>
      <sz val="11"/>
      <color rgb="FFFFFFFF"/>
      <name val="Arial"/>
      <family val="2"/>
    </font>
  </fonts>
  <fills count="11">
    <fill>
      <patternFill patternType="none"/>
    </fill>
    <fill>
      <patternFill patternType="gray125"/>
    </fill>
    <fill>
      <patternFill patternType="solid">
        <fgColor rgb="FF1F4E79"/>
      </patternFill>
    </fill>
    <fill>
      <patternFill patternType="solid">
        <fgColor rgb="FFF5F8FF"/>
      </patternFill>
    </fill>
    <fill>
      <patternFill patternType="solid">
        <fgColor rgb="FFC6EFCE"/>
      </patternFill>
    </fill>
    <fill>
      <patternFill patternType="solid">
        <fgColor rgb="FFFFFFFF"/>
      </patternFill>
    </fill>
    <fill>
      <patternFill patternType="solid">
        <fgColor rgb="FFFFEB9C"/>
      </patternFill>
    </fill>
    <fill>
      <patternFill patternType="solid">
        <fgColor rgb="FFFFC7CE"/>
      </patternFill>
    </fill>
    <fill>
      <patternFill patternType="solid">
        <fgColor rgb="FFE2EFDA"/>
      </patternFill>
    </fill>
    <fill>
      <patternFill patternType="solid">
        <fgColor rgb="FFDDEEFF"/>
      </patternFill>
    </fill>
    <fill>
      <patternFill patternType="solid">
        <fgColor rgb="FFFCE4D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9" fontId="9" fillId="0" borderId="0" applyFont="0" applyFill="0" applyBorder="0" applyAlignment="0" applyProtection="0"/>
  </cellStyleXfs>
  <cellXfs count="32">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3" fontId="2" fillId="3" borderId="1" xfId="0" applyNumberFormat="1" applyFont="1" applyFill="1" applyBorder="1" applyAlignment="1">
      <alignment horizontal="left" vertical="center"/>
    </xf>
    <xf numFmtId="0" fontId="3"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3" fontId="2" fillId="5" borderId="1" xfId="0" applyNumberFormat="1" applyFont="1" applyFill="1" applyBorder="1" applyAlignment="1">
      <alignment horizontal="left" vertical="center"/>
    </xf>
    <xf numFmtId="0" fontId="4"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7" fillId="9" borderId="1" xfId="0" applyFont="1" applyFill="1" applyBorder="1" applyAlignment="1">
      <alignment horizontal="center" vertical="center"/>
    </xf>
    <xf numFmtId="0" fontId="8" fillId="10" borderId="1" xfId="0" applyFont="1" applyFill="1" applyBorder="1" applyAlignment="1">
      <alignment horizontal="center" vertical="center"/>
    </xf>
    <xf numFmtId="0" fontId="1" fillId="2" borderId="2" xfId="0" applyFont="1" applyFill="1" applyBorder="1" applyAlignment="1">
      <alignment horizontal="center" vertical="center" wrapText="1"/>
    </xf>
    <xf numFmtId="3" fontId="0" fillId="0" borderId="0" xfId="0" applyNumberFormat="1"/>
    <xf numFmtId="9" fontId="0" fillId="0" borderId="0" xfId="1" applyFont="1"/>
    <xf numFmtId="0" fontId="0" fillId="0" borderId="0" xfId="0" pivotButton="1"/>
    <xf numFmtId="0" fontId="0" fillId="0" borderId="0" xfId="0" applyAlignment="1">
      <alignment horizontal="left"/>
    </xf>
    <xf numFmtId="14" fontId="1" fillId="2" borderId="1" xfId="0" applyNumberFormat="1" applyFont="1" applyFill="1" applyBorder="1" applyAlignment="1">
      <alignment horizontal="center" vertical="center" wrapText="1"/>
    </xf>
    <xf numFmtId="14" fontId="2" fillId="3" borderId="1" xfId="0" applyNumberFormat="1" applyFont="1" applyFill="1" applyBorder="1" applyAlignment="1">
      <alignment horizontal="center" vertical="center"/>
    </xf>
    <xf numFmtId="14" fontId="2" fillId="5" borderId="1" xfId="0" applyNumberFormat="1" applyFont="1" applyFill="1" applyBorder="1" applyAlignment="1">
      <alignment horizontal="center" vertical="center"/>
    </xf>
    <xf numFmtId="14" fontId="0" fillId="0" borderId="0" xfId="0" applyNumberFormat="1"/>
    <xf numFmtId="164" fontId="1" fillId="2" borderId="1"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xf>
    <xf numFmtId="164" fontId="2" fillId="5" borderId="1" xfId="0" applyNumberFormat="1" applyFont="1" applyFill="1" applyBorder="1" applyAlignment="1">
      <alignment horizontal="center" vertical="center"/>
    </xf>
    <xf numFmtId="164" fontId="0" fillId="0" borderId="0" xfId="0" applyNumberFormat="1"/>
    <xf numFmtId="0" fontId="10" fillId="0" borderId="0" xfId="0" applyFont="1" applyAlignment="1">
      <alignment horizontal="center"/>
    </xf>
    <xf numFmtId="0" fontId="0" fillId="0" borderId="0" xfId="0" applyAlignment="1">
      <alignment horizontal="center"/>
    </xf>
    <xf numFmtId="0" fontId="11" fillId="0" borderId="0" xfId="0" applyFont="1" applyAlignment="1">
      <alignment horizontal="center"/>
    </xf>
    <xf numFmtId="0" fontId="12" fillId="2" borderId="1" xfId="0" applyFont="1" applyFill="1" applyBorder="1" applyAlignment="1">
      <alignment horizontal="center" vertical="center" wrapText="1"/>
    </xf>
    <xf numFmtId="0" fontId="0" fillId="0" borderId="0" xfId="0" applyNumberFormat="1"/>
  </cellXfs>
  <cellStyles count="2">
    <cellStyle name="Normal" xfId="0" builtinId="0"/>
    <cellStyle name="Percent" xfId="1" builtinId="5"/>
  </cellStyles>
  <dxfs count="5">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3" formatCode="#,##0"/>
    </dxf>
    <dxf>
      <numFmt numFmtId="3" formatCode="#,##0"/>
    </dxf>
    <dxf>
      <numFmt numFmtId="3"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[O2C_Data(AutoRecovered).xlsx]Pivot!PivotTable1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4"/>
            </a:solidFill>
            <a:ln>
              <a:noFill/>
            </a:ln>
            <a:effectLst/>
          </c:spPr>
          <c:invertIfNegative val="0"/>
          <c:cat>
            <c:strRef>
              <c:f>Pivot!$A$4:$A$8</c:f>
              <c:strCache>
                <c:ptCount val="4"/>
                <c:pt idx="0">
                  <c:v>East</c:v>
                </c:pt>
                <c:pt idx="1">
                  <c:v>North</c:v>
                </c:pt>
                <c:pt idx="2">
                  <c:v>South</c:v>
                </c:pt>
                <c:pt idx="3">
                  <c:v>West</c:v>
                </c:pt>
              </c:strCache>
            </c:strRef>
          </c:cat>
          <c:val>
            <c:numRef>
              <c:f>Pivot!$B$4:$B$8</c:f>
              <c:numCache>
                <c:formatCode>#,##0</c:formatCode>
                <c:ptCount val="4"/>
                <c:pt idx="0">
                  <c:v>4060000</c:v>
                </c:pt>
                <c:pt idx="1">
                  <c:v>4421000</c:v>
                </c:pt>
                <c:pt idx="2">
                  <c:v>4866000</c:v>
                </c:pt>
                <c:pt idx="3">
                  <c:v>22018000</c:v>
                </c:pt>
              </c:numCache>
            </c:numRef>
          </c:val>
          <c:extLst>
            <c:ext xmlns:c16="http://schemas.microsoft.com/office/drawing/2014/chart" uri="{C3380CC4-5D6E-409C-BE32-E72D297353CC}">
              <c16:uniqueId val="{00000000-33F4-4A9D-855B-20B33AB4E8CE}"/>
            </c:ext>
          </c:extLst>
        </c:ser>
        <c:dLbls>
          <c:showLegendKey val="0"/>
          <c:showVal val="0"/>
          <c:showCatName val="0"/>
          <c:showSerName val="0"/>
          <c:showPercent val="0"/>
          <c:showBubbleSize val="0"/>
        </c:dLbls>
        <c:gapWidth val="219"/>
        <c:axId val="1953244239"/>
        <c:axId val="1953237999"/>
      </c:barChart>
      <c:catAx>
        <c:axId val="1953244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37999"/>
        <c:crosses val="autoZero"/>
        <c:auto val="1"/>
        <c:lblAlgn val="ctr"/>
        <c:lblOffset val="100"/>
        <c:noMultiLvlLbl val="0"/>
      </c:catAx>
      <c:valAx>
        <c:axId val="19532379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4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[O2C_Data(AutoRecovered).xlsx]Pivot!PivotTable3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Collection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95625546806649"/>
          <c:y val="0.23550707203266255"/>
          <c:w val="0.65254330708661412"/>
          <c:h val="0.53774387576552929"/>
        </c:manualLayout>
      </c:layout>
      <c:lineChart>
        <c:grouping val="standard"/>
        <c:varyColors val="0"/>
        <c:ser>
          <c:idx val="0"/>
          <c:order val="0"/>
          <c:tx>
            <c:strRef>
              <c:f>Pivot!$H$3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Pivot!$G$4:$G$8</c:f>
              <c:strCache>
                <c:ptCount val="4"/>
                <c:pt idx="0">
                  <c:v>East</c:v>
                </c:pt>
                <c:pt idx="1">
                  <c:v>North</c:v>
                </c:pt>
                <c:pt idx="2">
                  <c:v>South</c:v>
                </c:pt>
                <c:pt idx="3">
                  <c:v>West</c:v>
                </c:pt>
              </c:strCache>
            </c:strRef>
          </c:cat>
          <c:val>
            <c:numRef>
              <c:f>Pivot!$H$4:$H$8</c:f>
              <c:numCache>
                <c:formatCode>#,##0</c:formatCode>
                <c:ptCount val="4"/>
                <c:pt idx="0">
                  <c:v>2827250</c:v>
                </c:pt>
                <c:pt idx="1">
                  <c:v>2686250</c:v>
                </c:pt>
                <c:pt idx="2">
                  <c:v>3194750</c:v>
                </c:pt>
                <c:pt idx="3">
                  <c:v>15623500</c:v>
                </c:pt>
              </c:numCache>
            </c:numRef>
          </c:val>
          <c:smooth val="0"/>
          <c:extLst>
            <c:ext xmlns:c16="http://schemas.microsoft.com/office/drawing/2014/chart" uri="{C3380CC4-5D6E-409C-BE32-E72D297353CC}">
              <c16:uniqueId val="{00000000-9215-4E50-BA7C-4EA4B79277A5}"/>
            </c:ext>
          </c:extLst>
        </c:ser>
        <c:dLbls>
          <c:showLegendKey val="0"/>
          <c:showVal val="0"/>
          <c:showCatName val="0"/>
          <c:showSerName val="0"/>
          <c:showPercent val="0"/>
          <c:showBubbleSize val="0"/>
        </c:dLbls>
        <c:marker val="1"/>
        <c:smooth val="0"/>
        <c:axId val="370294623"/>
        <c:axId val="370295103"/>
      </c:lineChart>
      <c:catAx>
        <c:axId val="37029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95103"/>
        <c:crosses val="autoZero"/>
        <c:auto val="1"/>
        <c:lblAlgn val="ctr"/>
        <c:lblOffset val="100"/>
        <c:noMultiLvlLbl val="0"/>
      </c:catAx>
      <c:valAx>
        <c:axId val="370295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294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[O2C_Data(AutoRecovered).xlsx]Pivot!PivotTable4</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Outstanding</a:t>
            </a:r>
            <a:r>
              <a:rPr lang="en-US" baseline="0"/>
              <a:t> By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Pivot!$K$3</c:f>
              <c:strCache>
                <c:ptCount val="1"/>
                <c:pt idx="0">
                  <c:v>Total</c:v>
                </c:pt>
              </c:strCache>
            </c:strRef>
          </c:tx>
          <c:spPr>
            <a:solidFill>
              <a:schemeClr val="accent1"/>
            </a:solidFill>
            <a:ln>
              <a:noFill/>
            </a:ln>
            <a:effectLst/>
          </c:spPr>
          <c:invertIfNegative val="0"/>
          <c:cat>
            <c:strRef>
              <c:f>Pivot!$J$4:$J$106</c:f>
              <c:strCache>
                <c:ptCount val="102"/>
                <c:pt idx="0">
                  <c:v>Shinde Provision Mart</c:v>
                </c:pt>
                <c:pt idx="1">
                  <c:v>Lokare Traders</c:v>
                </c:pt>
                <c:pt idx="2">
                  <c:v>Rastogi General Store</c:v>
                </c:pt>
                <c:pt idx="3">
                  <c:v>Ghosh Departmental</c:v>
                </c:pt>
                <c:pt idx="4">
                  <c:v>Chavan Supermart</c:v>
                </c:pt>
                <c:pt idx="5">
                  <c:v>Nimkar General Store</c:v>
                </c:pt>
                <c:pt idx="6">
                  <c:v>Hegde Provision Store</c:v>
                </c:pt>
                <c:pt idx="7">
                  <c:v>Londhe Retail</c:v>
                </c:pt>
                <c:pt idx="8">
                  <c:v>Yashwante General Store</c:v>
                </c:pt>
                <c:pt idx="9">
                  <c:v>Qureshi Traders</c:v>
                </c:pt>
                <c:pt idx="10">
                  <c:v>Verma Provision Mart</c:v>
                </c:pt>
                <c:pt idx="11">
                  <c:v>Magar Kirana Bhandar</c:v>
                </c:pt>
                <c:pt idx="12">
                  <c:v>Rao Enterprises</c:v>
                </c:pt>
                <c:pt idx="13">
                  <c:v>Nair General Stores</c:v>
                </c:pt>
                <c:pt idx="14">
                  <c:v>Zende Traders</c:v>
                </c:pt>
                <c:pt idx="15">
                  <c:v>Bose Brothers Retail</c:v>
                </c:pt>
                <c:pt idx="16">
                  <c:v>Naik Provision Bhandar</c:v>
                </c:pt>
                <c:pt idx="17">
                  <c:v>Wani General Store</c:v>
                </c:pt>
                <c:pt idx="18">
                  <c:v>Bansal Provision Store</c:v>
                </c:pt>
                <c:pt idx="19">
                  <c:v>Iyer Supermart</c:v>
                </c:pt>
                <c:pt idx="20">
                  <c:v>Deshpande Supermart</c:v>
                </c:pt>
                <c:pt idx="21">
                  <c:v>Walia Brothers</c:v>
                </c:pt>
                <c:pt idx="22">
                  <c:v>Lal Brothers</c:v>
                </c:pt>
                <c:pt idx="23">
                  <c:v>Salve Stores</c:v>
                </c:pt>
                <c:pt idx="24">
                  <c:v>Desai Provision Store</c:v>
                </c:pt>
                <c:pt idx="25">
                  <c:v>Jain Retail Mart</c:v>
                </c:pt>
                <c:pt idx="26">
                  <c:v>Xavier Provision Mart</c:v>
                </c:pt>
                <c:pt idx="27">
                  <c:v>Singh Departmental Store</c:v>
                </c:pt>
                <c:pt idx="28">
                  <c:v>Yewale Kirana</c:v>
                </c:pt>
                <c:pt idx="29">
                  <c:v>Kulkarni Stores</c:v>
                </c:pt>
                <c:pt idx="30">
                  <c:v>More Brothers Retail</c:v>
                </c:pt>
                <c:pt idx="31">
                  <c:v>Mhetre Stores</c:v>
                </c:pt>
                <c:pt idx="32">
                  <c:v>Sathe Retail</c:v>
                </c:pt>
                <c:pt idx="33">
                  <c:v>Dhole Kirana</c:v>
                </c:pt>
                <c:pt idx="34">
                  <c:v>Gupta Traders</c:v>
                </c:pt>
                <c:pt idx="35">
                  <c:v>Venkatesan Retail</c:v>
                </c:pt>
                <c:pt idx="36">
                  <c:v>Tiwari Kirana</c:v>
                </c:pt>
                <c:pt idx="37">
                  <c:v>Fulzele Kirana</c:v>
                </c:pt>
                <c:pt idx="38">
                  <c:v>Agarwal Super Store</c:v>
                </c:pt>
                <c:pt idx="39">
                  <c:v>Gaikwad Provision</c:v>
                </c:pt>
                <c:pt idx="40">
                  <c:v>Oswal Supermart</c:v>
                </c:pt>
                <c:pt idx="41">
                  <c:v>Upadhyay Stores</c:v>
                </c:pt>
                <c:pt idx="42">
                  <c:v>Rajput Kirana</c:v>
                </c:pt>
                <c:pt idx="43">
                  <c:v>Eknath Retail</c:v>
                </c:pt>
                <c:pt idx="44">
                  <c:v>Ubale Supermart</c:v>
                </c:pt>
                <c:pt idx="45">
                  <c:v>Zutshi Traders</c:v>
                </c:pt>
                <c:pt idx="46">
                  <c:v>Fernandes Stores</c:v>
                </c:pt>
                <c:pt idx="47">
                  <c:v>Thorat General Store</c:v>
                </c:pt>
                <c:pt idx="48">
                  <c:v>Mehta Retail</c:v>
                </c:pt>
                <c:pt idx="49">
                  <c:v>Ekbote Supermart</c:v>
                </c:pt>
                <c:pt idx="50">
                  <c:v>Yadav General Store</c:v>
                </c:pt>
                <c:pt idx="51">
                  <c:v>Sharma General Store</c:v>
                </c:pt>
                <c:pt idx="52">
                  <c:v>Yadav Bhandar</c:v>
                </c:pt>
                <c:pt idx="53">
                  <c:v>Zagade Traders</c:v>
                </c:pt>
                <c:pt idx="54">
                  <c:v>Krishnan Stores</c:v>
                </c:pt>
                <c:pt idx="55">
                  <c:v>Pansare Stores</c:v>
                </c:pt>
                <c:pt idx="56">
                  <c:v>Wagmare Retail</c:v>
                </c:pt>
                <c:pt idx="57">
                  <c:v>Gade Brothers</c:v>
                </c:pt>
                <c:pt idx="58">
                  <c:v>Raskar General Store</c:v>
                </c:pt>
                <c:pt idx="59">
                  <c:v>Kamble Provision Mart</c:v>
                </c:pt>
                <c:pt idx="60">
                  <c:v>Malhotra Kirana</c:v>
                </c:pt>
                <c:pt idx="61">
                  <c:v>Zarekar Traders</c:v>
                </c:pt>
                <c:pt idx="62">
                  <c:v>Wagh Retail</c:v>
                </c:pt>
                <c:pt idx="63">
                  <c:v>Kharat General Store</c:v>
                </c:pt>
                <c:pt idx="64">
                  <c:v>Pawar Kirana Bhandar</c:v>
                </c:pt>
                <c:pt idx="65">
                  <c:v>Gawali Retail</c:v>
                </c:pt>
                <c:pt idx="66">
                  <c:v>Pillai Provision Store</c:v>
                </c:pt>
                <c:pt idx="67">
                  <c:v>Kadam Provision Store</c:v>
                </c:pt>
                <c:pt idx="68">
                  <c:v>Ugale Brothers</c:v>
                </c:pt>
                <c:pt idx="69">
                  <c:v>Ingale Traders</c:v>
                </c:pt>
                <c:pt idx="70">
                  <c:v>Patil Brothers</c:v>
                </c:pt>
                <c:pt idx="71">
                  <c:v>Nichal Traders</c:v>
                </c:pt>
                <c:pt idx="72">
                  <c:v>Das Kirana Bhandar</c:v>
                </c:pt>
                <c:pt idx="73">
                  <c:v>Ambhore Stores</c:v>
                </c:pt>
                <c:pt idx="74">
                  <c:v>Kaur General Store</c:v>
                </c:pt>
                <c:pt idx="75">
                  <c:v>Varale Stores</c:v>
                </c:pt>
                <c:pt idx="76">
                  <c:v>Vaidya Kirana</c:v>
                </c:pt>
                <c:pt idx="77">
                  <c:v>Chougule Kirana</c:v>
                </c:pt>
                <c:pt idx="78">
                  <c:v>Jadhav Kirana Mart</c:v>
                </c:pt>
                <c:pt idx="79">
                  <c:v>Anand Kirana</c:v>
                </c:pt>
                <c:pt idx="80">
                  <c:v>Bhosale General Store</c:v>
                </c:pt>
                <c:pt idx="81">
                  <c:v>Aher Provision Mart</c:v>
                </c:pt>
                <c:pt idx="82">
                  <c:v>Tambe Provision Store</c:v>
                </c:pt>
                <c:pt idx="83">
                  <c:v>Patel Kirana</c:v>
                </c:pt>
                <c:pt idx="84">
                  <c:v>Ingawale General Store</c:v>
                </c:pt>
                <c:pt idx="85">
                  <c:v>Jagtap Kirana</c:v>
                </c:pt>
                <c:pt idx="86">
                  <c:v>Vitkar Stores</c:v>
                </c:pt>
                <c:pt idx="87">
                  <c:v>Nanda Stores</c:v>
                </c:pt>
                <c:pt idx="88">
                  <c:v>Iyengar Supermart</c:v>
                </c:pt>
                <c:pt idx="89">
                  <c:v>Oberoi Retail</c:v>
                </c:pt>
                <c:pt idx="90">
                  <c:v>Reddy Provision Store</c:v>
                </c:pt>
                <c:pt idx="91">
                  <c:v>Hande General Store</c:v>
                </c:pt>
                <c:pt idx="92">
                  <c:v>Raut Supermart</c:v>
                </c:pt>
                <c:pt idx="93">
                  <c:v>Shetty Supermart</c:v>
                </c:pt>
                <c:pt idx="94">
                  <c:v>Chakraborty Stores</c:v>
                </c:pt>
                <c:pt idx="95">
                  <c:v>Joshi Kirana</c:v>
                </c:pt>
                <c:pt idx="96">
                  <c:v>Mane General Store</c:v>
                </c:pt>
                <c:pt idx="97">
                  <c:v>Bansode Stores</c:v>
                </c:pt>
                <c:pt idx="98">
                  <c:v>Hiremath Retail</c:v>
                </c:pt>
                <c:pt idx="99">
                  <c:v>Chopra Traders</c:v>
                </c:pt>
                <c:pt idx="100">
                  <c:v>Suryawanshi Kirana</c:v>
                </c:pt>
                <c:pt idx="101">
                  <c:v>Unde Provision Mart</c:v>
                </c:pt>
              </c:strCache>
            </c:strRef>
          </c:cat>
          <c:val>
            <c:numRef>
              <c:f>Pivot!$K$4:$K$106</c:f>
              <c:numCache>
                <c:formatCode>#,##0</c:formatCode>
                <c:ptCount val="102"/>
                <c:pt idx="0">
                  <c:v>357000</c:v>
                </c:pt>
                <c:pt idx="1">
                  <c:v>330000</c:v>
                </c:pt>
                <c:pt idx="2">
                  <c:v>281750</c:v>
                </c:pt>
                <c:pt idx="3">
                  <c:v>253000</c:v>
                </c:pt>
                <c:pt idx="4">
                  <c:v>243000</c:v>
                </c:pt>
                <c:pt idx="5">
                  <c:v>235000</c:v>
                </c:pt>
                <c:pt idx="6">
                  <c:v>227500</c:v>
                </c:pt>
                <c:pt idx="7">
                  <c:v>220000</c:v>
                </c:pt>
                <c:pt idx="8">
                  <c:v>212500</c:v>
                </c:pt>
                <c:pt idx="9">
                  <c:v>212500</c:v>
                </c:pt>
                <c:pt idx="10">
                  <c:v>208000</c:v>
                </c:pt>
                <c:pt idx="11">
                  <c:v>206500</c:v>
                </c:pt>
                <c:pt idx="12">
                  <c:v>197000</c:v>
                </c:pt>
                <c:pt idx="13">
                  <c:v>193000</c:v>
                </c:pt>
                <c:pt idx="14">
                  <c:v>188000</c:v>
                </c:pt>
                <c:pt idx="15">
                  <c:v>183000</c:v>
                </c:pt>
                <c:pt idx="16">
                  <c:v>181250</c:v>
                </c:pt>
                <c:pt idx="17">
                  <c:v>177500</c:v>
                </c:pt>
                <c:pt idx="18">
                  <c:v>173000</c:v>
                </c:pt>
                <c:pt idx="19">
                  <c:v>167000</c:v>
                </c:pt>
                <c:pt idx="20">
                  <c:v>162500</c:v>
                </c:pt>
                <c:pt idx="21">
                  <c:v>151250</c:v>
                </c:pt>
                <c:pt idx="22">
                  <c:v>150000</c:v>
                </c:pt>
                <c:pt idx="23">
                  <c:v>150000</c:v>
                </c:pt>
                <c:pt idx="24">
                  <c:v>150000</c:v>
                </c:pt>
                <c:pt idx="25">
                  <c:v>147500</c:v>
                </c:pt>
                <c:pt idx="26">
                  <c:v>145000</c:v>
                </c:pt>
                <c:pt idx="27">
                  <c:v>145000</c:v>
                </c:pt>
                <c:pt idx="28">
                  <c:v>142500</c:v>
                </c:pt>
                <c:pt idx="29">
                  <c:v>138000</c:v>
                </c:pt>
                <c:pt idx="30">
                  <c:v>138000</c:v>
                </c:pt>
                <c:pt idx="31">
                  <c:v>137750</c:v>
                </c:pt>
                <c:pt idx="32">
                  <c:v>131250</c:v>
                </c:pt>
                <c:pt idx="33">
                  <c:v>131250</c:v>
                </c:pt>
                <c:pt idx="34">
                  <c:v>129500</c:v>
                </c:pt>
                <c:pt idx="35">
                  <c:v>129000</c:v>
                </c:pt>
                <c:pt idx="36">
                  <c:v>126750</c:v>
                </c:pt>
                <c:pt idx="37">
                  <c:v>126500</c:v>
                </c:pt>
                <c:pt idx="38">
                  <c:v>125000</c:v>
                </c:pt>
                <c:pt idx="39">
                  <c:v>125000</c:v>
                </c:pt>
                <c:pt idx="40">
                  <c:v>124500</c:v>
                </c:pt>
                <c:pt idx="41">
                  <c:v>120000</c:v>
                </c:pt>
                <c:pt idx="42">
                  <c:v>118000</c:v>
                </c:pt>
                <c:pt idx="43">
                  <c:v>117500</c:v>
                </c:pt>
                <c:pt idx="44">
                  <c:v>117000</c:v>
                </c:pt>
                <c:pt idx="45">
                  <c:v>114000</c:v>
                </c:pt>
                <c:pt idx="46">
                  <c:v>110000</c:v>
                </c:pt>
                <c:pt idx="47">
                  <c:v>110000</c:v>
                </c:pt>
                <c:pt idx="48">
                  <c:v>108000</c:v>
                </c:pt>
                <c:pt idx="49">
                  <c:v>103500</c:v>
                </c:pt>
                <c:pt idx="50">
                  <c:v>100000</c:v>
                </c:pt>
                <c:pt idx="51">
                  <c:v>98250</c:v>
                </c:pt>
                <c:pt idx="52">
                  <c:v>97000</c:v>
                </c:pt>
                <c:pt idx="53">
                  <c:v>92500</c:v>
                </c:pt>
                <c:pt idx="54">
                  <c:v>91000</c:v>
                </c:pt>
                <c:pt idx="55">
                  <c:v>90000</c:v>
                </c:pt>
                <c:pt idx="56">
                  <c:v>90000</c:v>
                </c:pt>
                <c:pt idx="57">
                  <c:v>90000</c:v>
                </c:pt>
                <c:pt idx="58">
                  <c:v>90000</c:v>
                </c:pt>
                <c:pt idx="59">
                  <c:v>88750</c:v>
                </c:pt>
                <c:pt idx="60">
                  <c:v>88000</c:v>
                </c:pt>
                <c:pt idx="61">
                  <c:v>87000</c:v>
                </c:pt>
                <c:pt idx="62">
                  <c:v>83750</c:v>
                </c:pt>
                <c:pt idx="63">
                  <c:v>80000</c:v>
                </c:pt>
                <c:pt idx="64">
                  <c:v>75000</c:v>
                </c:pt>
                <c:pt idx="65">
                  <c:v>70000</c:v>
                </c:pt>
                <c:pt idx="66">
                  <c:v>69000</c:v>
                </c:pt>
                <c:pt idx="67">
                  <c:v>68250</c:v>
                </c:pt>
                <c:pt idx="68">
                  <c:v>67500</c:v>
                </c:pt>
                <c:pt idx="69">
                  <c:v>65000</c:v>
                </c:pt>
                <c:pt idx="70">
                  <c:v>62000</c:v>
                </c:pt>
                <c:pt idx="71">
                  <c:v>58500</c:v>
                </c:pt>
                <c:pt idx="72">
                  <c:v>58000</c:v>
                </c:pt>
                <c:pt idx="73">
                  <c:v>53500</c:v>
                </c:pt>
                <c:pt idx="74">
                  <c:v>53000</c:v>
                </c:pt>
                <c:pt idx="75">
                  <c:v>53000</c:v>
                </c:pt>
                <c:pt idx="76">
                  <c:v>52000</c:v>
                </c:pt>
                <c:pt idx="77">
                  <c:v>50000</c:v>
                </c:pt>
                <c:pt idx="78">
                  <c:v>50000</c:v>
                </c:pt>
                <c:pt idx="79">
                  <c:v>50000</c:v>
                </c:pt>
                <c:pt idx="80">
                  <c:v>47000</c:v>
                </c:pt>
                <c:pt idx="81">
                  <c:v>40000</c:v>
                </c:pt>
                <c:pt idx="82">
                  <c:v>40000</c:v>
                </c:pt>
                <c:pt idx="83">
                  <c:v>37500</c:v>
                </c:pt>
                <c:pt idx="84">
                  <c:v>35000</c:v>
                </c:pt>
                <c:pt idx="85">
                  <c:v>33000</c:v>
                </c:pt>
                <c:pt idx="86">
                  <c:v>30000</c:v>
                </c:pt>
                <c:pt idx="87">
                  <c:v>26000</c:v>
                </c:pt>
                <c:pt idx="88">
                  <c:v>25000</c:v>
                </c:pt>
                <c:pt idx="89">
                  <c:v>25000</c:v>
                </c:pt>
                <c:pt idx="90">
                  <c:v>22000</c:v>
                </c:pt>
                <c:pt idx="91">
                  <c:v>20000</c:v>
                </c:pt>
                <c:pt idx="92">
                  <c:v>15000</c:v>
                </c:pt>
                <c:pt idx="93">
                  <c:v>12000</c:v>
                </c:pt>
                <c:pt idx="94">
                  <c:v>12000</c:v>
                </c:pt>
                <c:pt idx="95">
                  <c:v>12000</c:v>
                </c:pt>
                <c:pt idx="96">
                  <c:v>5000</c:v>
                </c:pt>
                <c:pt idx="97">
                  <c:v>5000</c:v>
                </c:pt>
                <c:pt idx="98">
                  <c:v>0</c:v>
                </c:pt>
                <c:pt idx="99">
                  <c:v>0</c:v>
                </c:pt>
                <c:pt idx="100">
                  <c:v>0</c:v>
                </c:pt>
                <c:pt idx="101">
                  <c:v>0</c:v>
                </c:pt>
              </c:numCache>
            </c:numRef>
          </c:val>
          <c:extLst>
            <c:ext xmlns:c16="http://schemas.microsoft.com/office/drawing/2014/chart" uri="{C3380CC4-5D6E-409C-BE32-E72D297353CC}">
              <c16:uniqueId val="{00000000-3C07-47B8-90CD-DB445764B1D9}"/>
            </c:ext>
          </c:extLst>
        </c:ser>
        <c:dLbls>
          <c:showLegendKey val="0"/>
          <c:showVal val="0"/>
          <c:showCatName val="0"/>
          <c:showSerName val="0"/>
          <c:showPercent val="0"/>
          <c:showBubbleSize val="0"/>
        </c:dLbls>
        <c:gapWidth val="182"/>
        <c:axId val="370341663"/>
        <c:axId val="370342143"/>
      </c:barChart>
      <c:catAx>
        <c:axId val="37034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342143"/>
        <c:crosses val="autoZero"/>
        <c:auto val="1"/>
        <c:lblAlgn val="ctr"/>
        <c:lblOffset val="100"/>
        <c:noMultiLvlLbl val="0"/>
      </c:catAx>
      <c:valAx>
        <c:axId val="3703421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34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[O2C_Data(AutoRecovered).xlsx]Pivot!PivotTable5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Agling</a:t>
            </a:r>
            <a:r>
              <a:rPr lang="en-US" baseline="0"/>
              <a:t> analysis</a:t>
            </a:r>
            <a:r>
              <a:rPr lang="en-US"/>
              <a: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s>
    <c:plotArea>
      <c:layout/>
      <c:doughnutChart>
        <c:varyColors val="1"/>
        <c:ser>
          <c:idx val="0"/>
          <c:order val="0"/>
          <c:tx>
            <c:strRef>
              <c:f>Pivot!$N$3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7E1E-4013-8779-E683945805EC}"/>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E1E-4013-8779-E683945805EC}"/>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7E1E-4013-8779-E683945805EC}"/>
              </c:ext>
            </c:extLst>
          </c:dPt>
          <c:cat>
            <c:strRef>
              <c:f>Pivot!$M$4:$M$7</c:f>
              <c:strCache>
                <c:ptCount val="3"/>
                <c:pt idx="0">
                  <c:v>0-30 Days</c:v>
                </c:pt>
                <c:pt idx="1">
                  <c:v>31-60 Days</c:v>
                </c:pt>
                <c:pt idx="2">
                  <c:v>90+ Days</c:v>
                </c:pt>
              </c:strCache>
            </c:strRef>
          </c:cat>
          <c:val>
            <c:numRef>
              <c:f>Pivot!$N$4:$N$7</c:f>
              <c:numCache>
                <c:formatCode>#,##0</c:formatCode>
                <c:ptCount val="3"/>
                <c:pt idx="0">
                  <c:v>598500</c:v>
                </c:pt>
                <c:pt idx="1">
                  <c:v>199750</c:v>
                </c:pt>
                <c:pt idx="2">
                  <c:v>10235000</c:v>
                </c:pt>
              </c:numCache>
            </c:numRef>
          </c:val>
          <c:extLst>
            <c:ext xmlns:c16="http://schemas.microsoft.com/office/drawing/2014/chart" uri="{C3380CC4-5D6E-409C-BE32-E72D297353CC}">
              <c16:uniqueId val="{00000006-7E1E-4013-8779-E683945805E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[O2C_Data(AutoRecovered).xlsx]Pivot!PivotTable12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Pivot!$D$4:$D$16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Pivot!$E$4:$E$16</c:f>
              <c:numCache>
                <c:formatCode>General</c:formatCode>
                <c:ptCount val="12"/>
                <c:pt idx="0">
                  <c:v>2505000</c:v>
                </c:pt>
                <c:pt idx="1">
                  <c:v>3383000</c:v>
                </c:pt>
                <c:pt idx="2">
                  <c:v>3233000</c:v>
                </c:pt>
                <c:pt idx="3">
                  <c:v>3268000</c:v>
                </c:pt>
                <c:pt idx="4">
                  <c:v>2221000</c:v>
                </c:pt>
                <c:pt idx="5">
                  <c:v>2783000</c:v>
                </c:pt>
                <c:pt idx="6">
                  <c:v>2044000</c:v>
                </c:pt>
                <c:pt idx="7">
                  <c:v>2753000</c:v>
                </c:pt>
                <c:pt idx="8">
                  <c:v>3545000</c:v>
                </c:pt>
                <c:pt idx="9">
                  <c:v>2531000</c:v>
                </c:pt>
                <c:pt idx="10">
                  <c:v>3735000</c:v>
                </c:pt>
                <c:pt idx="11">
                  <c:v>3364000</c:v>
                </c:pt>
              </c:numCache>
            </c:numRef>
          </c:val>
          <c:smooth val="0"/>
          <c:extLst>
            <c:ext xmlns:c16="http://schemas.microsoft.com/office/drawing/2014/chart" uri="{C3380CC4-5D6E-409C-BE32-E72D297353CC}">
              <c16:uniqueId val="{00000000-A69A-44FE-94BC-C187FF124809}"/>
            </c:ext>
          </c:extLst>
        </c:ser>
        <c:dLbls>
          <c:showLegendKey val="0"/>
          <c:showVal val="0"/>
          <c:showCatName val="0"/>
          <c:showSerName val="0"/>
          <c:showPercent val="0"/>
          <c:showBubbleSize val="0"/>
        </c:dLbls>
        <c:marker val="1"/>
        <c:smooth val="0"/>
        <c:axId val="370317183"/>
        <c:axId val="370328223"/>
      </c:lineChart>
      <c:catAx>
        <c:axId val="370317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328223"/>
        <c:crosses val="autoZero"/>
        <c:auto val="1"/>
        <c:lblAlgn val="ctr"/>
        <c:lblOffset val="100"/>
        <c:noMultiLvlLbl val="0"/>
      </c:catAx>
      <c:valAx>
        <c:axId val="370328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317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58183</xdr:colOff>
      <xdr:row>2</xdr:row>
      <xdr:rowOff>41852</xdr:rowOff>
    </xdr:from>
    <xdr:to>
      <xdr:col>4</xdr:col>
      <xdr:colOff>599203</xdr:colOff>
      <xdr:row>7</xdr:row>
      <xdr:rowOff>56864</xdr:rowOff>
    </xdr:to>
    <xdr:sp macro="" textlink="">
      <xdr:nvSpPr>
        <xdr:cNvPr id="2" name="Rectangle: Rounded Corners 1">
          <a:extLst>
            <a:ext uri="{FF2B5EF4-FFF2-40B4-BE49-F238E27FC236}">
              <a16:creationId xmlns:a16="http://schemas.microsoft.com/office/drawing/2014/main" id="{03B2CDA2-B4AE-C36F-5F1C-F9B47B8013BD}"/>
            </a:ext>
          </a:extLst>
        </xdr:cNvPr>
        <xdr:cNvSpPr/>
      </xdr:nvSpPr>
      <xdr:spPr>
        <a:xfrm>
          <a:off x="663875" y="413083"/>
          <a:ext cx="2358097" cy="943089"/>
        </a:xfrm>
        <a:prstGeom prst="roundRect">
          <a:avLst>
            <a:gd name="adj" fmla="val 26505"/>
          </a:avLst>
        </a:prstGeom>
        <a:solidFill>
          <a:schemeClr val="accent4">
            <a:lumMod val="40000"/>
            <a:lumOff val="60000"/>
          </a:schemeClr>
        </a:solidFill>
        <a:ln>
          <a:solidFill>
            <a:schemeClr val="bg1"/>
          </a:solidFill>
        </a:ln>
        <a:effectLst>
          <a:glow>
            <a:schemeClr val="accent1">
              <a:alpha val="57000"/>
            </a:schemeClr>
          </a:glow>
          <a:outerShdw blurRad="101600" dir="5400000" sx="103000" sy="103000" algn="ctr" rotWithShape="0">
            <a:srgbClr val="000000">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i="0" u="none" strike="noStrike">
              <a:solidFill>
                <a:schemeClr val="lt1"/>
              </a:solidFill>
              <a:effectLst/>
              <a:latin typeface="+mn-lt"/>
              <a:ea typeface="+mn-ea"/>
              <a:cs typeface="+mn-cs"/>
            </a:rPr>
            <a:t>2,79,33,000</a:t>
          </a:r>
          <a:r>
            <a:rPr lang="en-IN" sz="2800" b="1">
              <a:effectLst/>
            </a:rPr>
            <a:t> </a:t>
          </a:r>
          <a:endParaRPr lang="en-IN" sz="2800" b="1"/>
        </a:p>
      </xdr:txBody>
    </xdr:sp>
    <xdr:clientData/>
  </xdr:twoCellAnchor>
  <xdr:twoCellAnchor>
    <xdr:from>
      <xdr:col>6</xdr:col>
      <xdr:colOff>30217</xdr:colOff>
      <xdr:row>2</xdr:row>
      <xdr:rowOff>15491</xdr:rowOff>
    </xdr:from>
    <xdr:to>
      <xdr:col>9</xdr:col>
      <xdr:colOff>571238</xdr:colOff>
      <xdr:row>7</xdr:row>
      <xdr:rowOff>30503</xdr:rowOff>
    </xdr:to>
    <xdr:sp macro="" textlink="">
      <xdr:nvSpPr>
        <xdr:cNvPr id="21" name="Rectangle: Rounded Corners 20">
          <a:extLst>
            <a:ext uri="{FF2B5EF4-FFF2-40B4-BE49-F238E27FC236}">
              <a16:creationId xmlns:a16="http://schemas.microsoft.com/office/drawing/2014/main" id="{3481D2D0-D17D-8F6A-E4F4-4A9C90E19A3F}"/>
            </a:ext>
          </a:extLst>
        </xdr:cNvPr>
        <xdr:cNvSpPr/>
      </xdr:nvSpPr>
      <xdr:spPr>
        <a:xfrm>
          <a:off x="3664371" y="386722"/>
          <a:ext cx="2358098" cy="943089"/>
        </a:xfrm>
        <a:prstGeom prst="roundRect">
          <a:avLst/>
        </a:prstGeom>
        <a:solidFill>
          <a:schemeClr val="accent4">
            <a:lumMod val="40000"/>
            <a:lumOff val="60000"/>
          </a:schemeClr>
        </a:solidFill>
        <a:ln>
          <a:solidFill>
            <a:schemeClr val="bg1"/>
          </a:solidFill>
        </a:ln>
        <a:effectLst>
          <a:glow>
            <a:schemeClr val="accent1">
              <a:alpha val="57000"/>
            </a:schemeClr>
          </a:glow>
          <a:outerShdw blurRad="101600" dir="5400000" sx="103000" sy="103000" algn="ctr" rotWithShape="0">
            <a:srgbClr val="000000">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effectLst/>
            </a:rPr>
            <a:t> </a:t>
          </a:r>
          <a:r>
            <a:rPr lang="en-IN" sz="2800" b="1" i="0" u="none" strike="noStrike">
              <a:solidFill>
                <a:schemeClr val="lt1"/>
              </a:solidFill>
              <a:effectLst/>
              <a:latin typeface="+mn-lt"/>
              <a:ea typeface="+mn-ea"/>
              <a:cs typeface="+mn-cs"/>
            </a:rPr>
            <a:t>2,43,31,750</a:t>
          </a:r>
          <a:r>
            <a:rPr lang="en-IN" sz="2800" b="1">
              <a:effectLst/>
            </a:rPr>
            <a:t> </a:t>
          </a:r>
          <a:endParaRPr lang="en-IN" sz="2800" b="1"/>
        </a:p>
      </xdr:txBody>
    </xdr:sp>
    <xdr:clientData/>
  </xdr:twoCellAnchor>
  <xdr:twoCellAnchor>
    <xdr:from>
      <xdr:col>11</xdr:col>
      <xdr:colOff>31413</xdr:colOff>
      <xdr:row>2</xdr:row>
      <xdr:rowOff>26603</xdr:rowOff>
    </xdr:from>
    <xdr:to>
      <xdr:col>14</xdr:col>
      <xdr:colOff>572433</xdr:colOff>
      <xdr:row>7</xdr:row>
      <xdr:rowOff>41615</xdr:rowOff>
    </xdr:to>
    <xdr:sp macro="" textlink="">
      <xdr:nvSpPr>
        <xdr:cNvPr id="22" name="Rectangle: Rounded Corners 21">
          <a:extLst>
            <a:ext uri="{FF2B5EF4-FFF2-40B4-BE49-F238E27FC236}">
              <a16:creationId xmlns:a16="http://schemas.microsoft.com/office/drawing/2014/main" id="{10956FFD-96BD-7926-ED6A-BBC741228A37}"/>
            </a:ext>
          </a:extLst>
        </xdr:cNvPr>
        <xdr:cNvSpPr/>
      </xdr:nvSpPr>
      <xdr:spPr>
        <a:xfrm>
          <a:off x="6694028" y="397834"/>
          <a:ext cx="2358097" cy="943089"/>
        </a:xfrm>
        <a:prstGeom prst="roundRect">
          <a:avLst/>
        </a:prstGeom>
        <a:solidFill>
          <a:schemeClr val="accent4">
            <a:lumMod val="40000"/>
            <a:lumOff val="60000"/>
          </a:schemeClr>
        </a:solidFill>
        <a:ln>
          <a:solidFill>
            <a:schemeClr val="bg1"/>
          </a:solidFill>
        </a:ln>
        <a:effectLst>
          <a:glow>
            <a:schemeClr val="accent1">
              <a:alpha val="57000"/>
            </a:schemeClr>
          </a:glow>
          <a:outerShdw blurRad="101600" dir="5400000" sx="103000" sy="103000" algn="ctr" rotWithShape="0">
            <a:srgbClr val="000000">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i="0" u="none" strike="noStrike">
              <a:solidFill>
                <a:schemeClr val="lt1"/>
              </a:solidFill>
              <a:effectLst/>
              <a:latin typeface="+mn-lt"/>
              <a:ea typeface="+mn-ea"/>
              <a:cs typeface="+mn-cs"/>
            </a:rPr>
            <a:t>1,10,33,250</a:t>
          </a:r>
          <a:r>
            <a:rPr lang="en-IN">
              <a:effectLst/>
            </a:rPr>
            <a:t> </a:t>
          </a:r>
          <a:endParaRPr lang="en-IN" sz="1100"/>
        </a:p>
      </xdr:txBody>
    </xdr:sp>
    <xdr:clientData/>
  </xdr:twoCellAnchor>
  <xdr:twoCellAnchor>
    <xdr:from>
      <xdr:col>16</xdr:col>
      <xdr:colOff>16426</xdr:colOff>
      <xdr:row>2</xdr:row>
      <xdr:rowOff>3449</xdr:rowOff>
    </xdr:from>
    <xdr:to>
      <xdr:col>19</xdr:col>
      <xdr:colOff>557446</xdr:colOff>
      <xdr:row>7</xdr:row>
      <xdr:rowOff>18461</xdr:rowOff>
    </xdr:to>
    <xdr:sp macro="" textlink="">
      <xdr:nvSpPr>
        <xdr:cNvPr id="23" name="Rectangle: Rounded Corners 22">
          <a:extLst>
            <a:ext uri="{FF2B5EF4-FFF2-40B4-BE49-F238E27FC236}">
              <a16:creationId xmlns:a16="http://schemas.microsoft.com/office/drawing/2014/main" id="{9A56B992-E756-048C-A0B6-B25D7A5035AA}"/>
            </a:ext>
          </a:extLst>
        </xdr:cNvPr>
        <xdr:cNvSpPr/>
      </xdr:nvSpPr>
      <xdr:spPr>
        <a:xfrm>
          <a:off x="9707503" y="374680"/>
          <a:ext cx="2358097" cy="943089"/>
        </a:xfrm>
        <a:prstGeom prst="roundRect">
          <a:avLst/>
        </a:prstGeom>
        <a:solidFill>
          <a:schemeClr val="accent4">
            <a:lumMod val="40000"/>
            <a:lumOff val="60000"/>
          </a:schemeClr>
        </a:solidFill>
        <a:ln>
          <a:solidFill>
            <a:schemeClr val="bg1"/>
          </a:solidFill>
        </a:ln>
        <a:effectLst>
          <a:glow>
            <a:schemeClr val="accent1">
              <a:alpha val="57000"/>
            </a:schemeClr>
          </a:glow>
          <a:outerShdw blurRad="101600" dir="5400000" sx="103000" sy="103000" algn="ctr" rotWithShape="0">
            <a:srgbClr val="000000">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i="0" u="none" strike="noStrike">
              <a:solidFill>
                <a:schemeClr val="lt1"/>
              </a:solidFill>
              <a:effectLst/>
              <a:latin typeface="+mn-lt"/>
              <a:ea typeface="+mn-ea"/>
              <a:cs typeface="+mn-cs"/>
            </a:rPr>
            <a:t>87%</a:t>
          </a:r>
          <a:r>
            <a:rPr lang="en-IN" sz="2800" b="1">
              <a:effectLst/>
            </a:rPr>
            <a:t> </a:t>
          </a:r>
          <a:endParaRPr lang="en-IN" sz="2800" b="1"/>
        </a:p>
      </xdr:txBody>
    </xdr:sp>
    <xdr:clientData/>
  </xdr:twoCellAnchor>
  <xdr:twoCellAnchor>
    <xdr:from>
      <xdr:col>21</xdr:col>
      <xdr:colOff>68216</xdr:colOff>
      <xdr:row>2</xdr:row>
      <xdr:rowOff>12956</xdr:rowOff>
    </xdr:from>
    <xdr:to>
      <xdr:col>25</xdr:col>
      <xdr:colOff>3543</xdr:colOff>
      <xdr:row>7</xdr:row>
      <xdr:rowOff>27968</xdr:rowOff>
    </xdr:to>
    <xdr:sp macro="" textlink="">
      <xdr:nvSpPr>
        <xdr:cNvPr id="25" name="Rectangle: Rounded Corners 24">
          <a:extLst>
            <a:ext uri="{FF2B5EF4-FFF2-40B4-BE49-F238E27FC236}">
              <a16:creationId xmlns:a16="http://schemas.microsoft.com/office/drawing/2014/main" id="{B6E49EAD-1F3C-B4F0-C9F2-843E6C5BFBD3}"/>
            </a:ext>
          </a:extLst>
        </xdr:cNvPr>
        <xdr:cNvSpPr/>
      </xdr:nvSpPr>
      <xdr:spPr>
        <a:xfrm>
          <a:off x="12787754" y="384187"/>
          <a:ext cx="2358097" cy="943089"/>
        </a:xfrm>
        <a:prstGeom prst="roundRect">
          <a:avLst/>
        </a:prstGeom>
        <a:solidFill>
          <a:schemeClr val="accent4">
            <a:lumMod val="40000"/>
            <a:lumOff val="60000"/>
          </a:schemeClr>
        </a:solidFill>
        <a:ln>
          <a:solidFill>
            <a:schemeClr val="bg1"/>
          </a:solidFill>
        </a:ln>
        <a:effectLst>
          <a:glow>
            <a:schemeClr val="accent1">
              <a:alpha val="57000"/>
            </a:schemeClr>
          </a:glow>
          <a:outerShdw blurRad="101600" dir="5400000" sx="103000" sy="103000" algn="ctr" rotWithShape="0">
            <a:srgbClr val="000000">
              <a:alpha val="28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i="0" u="none" strike="noStrike">
              <a:solidFill>
                <a:schemeClr val="lt1"/>
              </a:solidFill>
              <a:effectLst/>
              <a:latin typeface="+mn-lt"/>
              <a:ea typeface="+mn-ea"/>
              <a:cs typeface="+mn-cs"/>
            </a:rPr>
            <a:t>144.1712759</a:t>
          </a:r>
          <a:r>
            <a:rPr lang="en-IN">
              <a:effectLst/>
            </a:rPr>
            <a:t> </a:t>
          </a:r>
          <a:endParaRPr lang="en-IN" sz="1100"/>
        </a:p>
      </xdr:txBody>
    </xdr:sp>
    <xdr:clientData/>
  </xdr:twoCellAnchor>
  <xdr:twoCellAnchor>
    <xdr:from>
      <xdr:col>18</xdr:col>
      <xdr:colOff>-1</xdr:colOff>
      <xdr:row>10</xdr:row>
      <xdr:rowOff>0</xdr:rowOff>
    </xdr:from>
    <xdr:to>
      <xdr:col>25</xdr:col>
      <xdr:colOff>332154</xdr:colOff>
      <xdr:row>24</xdr:row>
      <xdr:rowOff>144585</xdr:rowOff>
    </xdr:to>
    <xdr:graphicFrame macro="">
      <xdr:nvGraphicFramePr>
        <xdr:cNvPr id="5" name="Chart 4">
          <a:extLst>
            <a:ext uri="{FF2B5EF4-FFF2-40B4-BE49-F238E27FC236}">
              <a16:creationId xmlns:a16="http://schemas.microsoft.com/office/drawing/2014/main" id="{00F50D7D-16B7-4AE3-9A0E-DEB7C21D2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10</xdr:row>
      <xdr:rowOff>0</xdr:rowOff>
    </xdr:from>
    <xdr:to>
      <xdr:col>17</xdr:col>
      <xdr:colOff>332154</xdr:colOff>
      <xdr:row>24</xdr:row>
      <xdr:rowOff>144585</xdr:rowOff>
    </xdr:to>
    <xdr:graphicFrame macro="">
      <xdr:nvGraphicFramePr>
        <xdr:cNvPr id="6" name="Chart 5">
          <a:extLst>
            <a:ext uri="{FF2B5EF4-FFF2-40B4-BE49-F238E27FC236}">
              <a16:creationId xmlns:a16="http://schemas.microsoft.com/office/drawing/2014/main" id="{C432F02A-67C4-41D8-B58B-37E67736E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26</xdr:row>
      <xdr:rowOff>65690</xdr:rowOff>
    </xdr:from>
    <xdr:to>
      <xdr:col>18</xdr:col>
      <xdr:colOff>78827</xdr:colOff>
      <xdr:row>46</xdr:row>
      <xdr:rowOff>118240</xdr:rowOff>
    </xdr:to>
    <xdr:graphicFrame macro="">
      <xdr:nvGraphicFramePr>
        <xdr:cNvPr id="8" name="Chart 7">
          <a:extLst>
            <a:ext uri="{FF2B5EF4-FFF2-40B4-BE49-F238E27FC236}">
              <a16:creationId xmlns:a16="http://schemas.microsoft.com/office/drawing/2014/main" id="{B6FA3953-8EF7-4EA8-A2C8-1E2A8F4AD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197069</xdr:colOff>
      <xdr:row>26</xdr:row>
      <xdr:rowOff>78828</xdr:rowOff>
    </xdr:from>
    <xdr:to>
      <xdr:col>25</xdr:col>
      <xdr:colOff>289034</xdr:colOff>
      <xdr:row>46</xdr:row>
      <xdr:rowOff>118240</xdr:rowOff>
    </xdr:to>
    <xdr:graphicFrame macro="">
      <xdr:nvGraphicFramePr>
        <xdr:cNvPr id="9" name="Chart 8">
          <a:extLst>
            <a:ext uri="{FF2B5EF4-FFF2-40B4-BE49-F238E27FC236}">
              <a16:creationId xmlns:a16="http://schemas.microsoft.com/office/drawing/2014/main" id="{E0139BEF-79F3-40E7-85E1-064153A6DB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26</xdr:col>
      <xdr:colOff>0</xdr:colOff>
      <xdr:row>2</xdr:row>
      <xdr:rowOff>1</xdr:rowOff>
    </xdr:from>
    <xdr:to>
      <xdr:col>29</xdr:col>
      <xdr:colOff>0</xdr:colOff>
      <xdr:row>13</xdr:row>
      <xdr:rowOff>12701</xdr:rowOff>
    </xdr:to>
    <mc:AlternateContent xmlns:mc="http://schemas.openxmlformats.org/markup-compatibility/2006">
      <mc:Choice xmlns:a14="http://schemas.microsoft.com/office/drawing/2010/main" Requires="a14">
        <xdr:graphicFrame macro="">
          <xdr:nvGraphicFramePr>
            <xdr:cNvPr id="10" name="Status">
              <a:extLst>
                <a:ext uri="{FF2B5EF4-FFF2-40B4-BE49-F238E27FC236}">
                  <a16:creationId xmlns:a16="http://schemas.microsoft.com/office/drawing/2014/main" id="{185B0D9C-F102-47A8-A08F-0262F601556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16038286" y="362858"/>
              <a:ext cx="1850571" cy="2008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0</xdr:colOff>
      <xdr:row>14</xdr:row>
      <xdr:rowOff>0</xdr:rowOff>
    </xdr:from>
    <xdr:to>
      <xdr:col>29</xdr:col>
      <xdr:colOff>0</xdr:colOff>
      <xdr:row>27</xdr:row>
      <xdr:rowOff>155575</xdr:rowOff>
    </xdr:to>
    <mc:AlternateContent xmlns:mc="http://schemas.openxmlformats.org/markup-compatibility/2006">
      <mc:Choice xmlns:a14="http://schemas.microsoft.com/office/drawing/2010/main" Requires="a14">
        <xdr:graphicFrame macro="">
          <xdr:nvGraphicFramePr>
            <xdr:cNvPr id="11" name="Customer">
              <a:extLst>
                <a:ext uri="{FF2B5EF4-FFF2-40B4-BE49-F238E27FC236}">
                  <a16:creationId xmlns:a16="http://schemas.microsoft.com/office/drawing/2014/main" id="{407EB169-FB22-43C9-929C-FB90E9F654DA}"/>
                </a:ext>
              </a:extLst>
            </xdr:cNvPr>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16038286" y="2540000"/>
              <a:ext cx="1850571" cy="2514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38100</xdr:colOff>
      <xdr:row>10</xdr:row>
      <xdr:rowOff>127000</xdr:rowOff>
    </xdr:from>
    <xdr:to>
      <xdr:col>32</xdr:col>
      <xdr:colOff>38100</xdr:colOff>
      <xdr:row>24</xdr:row>
      <xdr:rowOff>104775</xdr:rowOff>
    </xdr:to>
    <mc:AlternateContent xmlns:mc="http://schemas.openxmlformats.org/markup-compatibility/2006">
      <mc:Choice xmlns:a14="http://schemas.microsoft.com/office/drawing/2010/main" Requires="a14">
        <xdr:graphicFrame macro="">
          <xdr:nvGraphicFramePr>
            <xdr:cNvPr id="12" name="OrderDate">
              <a:extLst>
                <a:ext uri="{FF2B5EF4-FFF2-40B4-BE49-F238E27FC236}">
                  <a16:creationId xmlns:a16="http://schemas.microsoft.com/office/drawing/2014/main" id="{243B5467-1234-4F1B-BF65-CD829CA0CFCE}"/>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dr:sp macro="" textlink="">
          <xdr:nvSpPr>
            <xdr:cNvPr id="0" name=""/>
            <xdr:cNvSpPr>
              <a:spLocks noTextEdit="1"/>
            </xdr:cNvSpPr>
          </xdr:nvSpPr>
          <xdr:spPr>
            <a:xfrm>
              <a:off x="17926957" y="1941286"/>
              <a:ext cx="1850572" cy="251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0</xdr:colOff>
      <xdr:row>2</xdr:row>
      <xdr:rowOff>0</xdr:rowOff>
    </xdr:from>
    <xdr:to>
      <xdr:col>32</xdr:col>
      <xdr:colOff>0</xdr:colOff>
      <xdr:row>10</xdr:row>
      <xdr:rowOff>65442</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1232B2FA-784D-422A-BC6F-B9D836C7473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888857" y="362857"/>
              <a:ext cx="1850572" cy="1516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12700</xdr:colOff>
      <xdr:row>10</xdr:row>
      <xdr:rowOff>0</xdr:rowOff>
    </xdr:from>
    <xdr:to>
      <xdr:col>9</xdr:col>
      <xdr:colOff>190500</xdr:colOff>
      <xdr:row>24</xdr:row>
      <xdr:rowOff>127000</xdr:rowOff>
    </xdr:to>
    <xdr:graphicFrame macro="">
      <xdr:nvGraphicFramePr>
        <xdr:cNvPr id="14" name="Chart 13">
          <a:extLst>
            <a:ext uri="{FF2B5EF4-FFF2-40B4-BE49-F238E27FC236}">
              <a16:creationId xmlns:a16="http://schemas.microsoft.com/office/drawing/2014/main" id="{7B3D00F4-70DA-4785-99A4-8E66699E6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akya" refreshedDate="46188.741958564817" createdVersion="8" refreshedVersion="8" minRefreshableVersion="3" recordCount="1000" xr:uid="{16B12AB9-452C-4A25-A11F-AD60A0A0C429}">
  <cacheSource type="worksheet">
    <worksheetSource ref="A1:O1001" sheet="O2C_Data"/>
  </cacheSource>
  <cacheFields count="14">
    <cacheField name="OrderID" numFmtId="0">
      <sharedItems/>
    </cacheField>
    <cacheField name="Customer" numFmtId="0">
      <sharedItems count="102">
        <s v="Yewale Kirana"/>
        <s v="Raskar General Store"/>
        <s v="Gupta Traders"/>
        <s v="Iyer Supermart"/>
        <s v="Raut Supermart"/>
        <s v="Yadav General Store"/>
        <s v="Agarwal Super Store"/>
        <s v="Pansare Stores"/>
        <s v="Londhe Retail"/>
        <s v="Vitkar Stores"/>
        <s v="Singh Departmental Store"/>
        <s v="Shetty Supermart"/>
        <s v="Jain Retail Mart"/>
        <s v="Gawali Retail"/>
        <s v="Varale Stores"/>
        <s v="Oswal Supermart"/>
        <s v="Aher Provision Mart"/>
        <s v="Upadhyay Stores"/>
        <s v="Salve Stores"/>
        <s v="Ekbote Supermart"/>
        <s v="Iyengar Supermart"/>
        <s v="Patel Kirana"/>
        <s v="Suryawanshi Kirana"/>
        <s v="Ubale Supermart"/>
        <s v="Bansal Provision Store"/>
        <s v="Jagtap Kirana"/>
        <s v="Jadhav Kirana Mart"/>
        <s v="Nair General Stores"/>
        <s v="Kaur General Store"/>
        <s v="Rastogi General Store"/>
        <s v="Mehta Retail"/>
        <s v="Joshi Kirana"/>
        <s v="Patil Brothers"/>
        <s v="Bose Brothers Retail"/>
        <s v="Unde Provision Mart"/>
        <s v="Qureshi Traders"/>
        <s v="Walia Brothers"/>
        <s v="Yashwante General Store"/>
        <s v="Rao Enterprises"/>
        <s v="Bansode Stores"/>
        <s v="Pillai Provision Store"/>
        <s v="Fernandes Stores"/>
        <s v="Desai Provision Store"/>
        <s v="Zutshi Traders"/>
        <s v="Ugale Brothers"/>
        <s v="Shinde Provision Mart"/>
        <s v="More Brothers Retail"/>
        <s v="Krishnan Stores"/>
        <s v="Pawar Kirana Bhandar"/>
        <s v="Lal Brothers"/>
        <s v="Fulzele Kirana"/>
        <s v="Hande General Store"/>
        <s v="Thorat General Store"/>
        <s v="Nanda Stores"/>
        <s v="Anand Kirana"/>
        <s v="Dhole Kirana"/>
        <s v="Tambe Provision Store"/>
        <s v="Nimkar General Store"/>
        <s v="Hegde Provision Store"/>
        <s v="Chavan Supermart"/>
        <s v="Vaidya Kirana"/>
        <s v="Deshpande Supermart"/>
        <s v="Kadam Provision Store"/>
        <s v="Mane General Store"/>
        <s v="Bhosale General Store"/>
        <s v="Ingawale General Store"/>
        <s v="Ghosh Departmental"/>
        <s v="Zende Traders"/>
        <s v="Rajput Kirana"/>
        <s v="Gade Brothers"/>
        <s v="Yadav Bhandar"/>
        <s v="Verma Provision Mart"/>
        <s v="Mhetre Stores"/>
        <s v="Eknath Retail"/>
        <s v="Gaikwad Provision"/>
        <s v="Xavier Provision Mart"/>
        <s v="Magar Kirana Bhandar"/>
        <s v="Kamble Provision Mart"/>
        <s v="Ambhore Stores"/>
        <s v="Wani General Store"/>
        <s v="Kharat General Store"/>
        <s v="Venkatesan Retail"/>
        <s v="Sharma General Store"/>
        <s v="Chopra Traders"/>
        <s v="Sathe Retail"/>
        <s v="Tiwari Kirana"/>
        <s v="Nichal Traders"/>
        <s v="Kulkarni Stores"/>
        <s v="Lokare Traders"/>
        <s v="Das Kirana Bhandar"/>
        <s v="Wagmare Retail"/>
        <s v="Wagh Retail"/>
        <s v="Chougule Kirana"/>
        <s v="Reddy Provision Store"/>
        <s v="Chakraborty Stores"/>
        <s v="Oberoi Retail"/>
        <s v="Zarekar Traders"/>
        <s v="Ingale Traders"/>
        <s v="Malhotra Kirana"/>
        <s v="Naik Provision Bhandar"/>
        <s v="Hiremath Retail"/>
        <s v="Zagade Traders"/>
      </sharedItems>
    </cacheField>
    <cacheField name="Region" numFmtId="0">
      <sharedItems count="4">
        <s v="West"/>
        <s v="North"/>
        <s v="South"/>
        <s v="East"/>
      </sharedItems>
    </cacheField>
    <cacheField name="OrderDate" numFmtId="164">
      <sharedItems count="345">
        <s v="27-Feb-25"/>
        <s v="22-Feb-25"/>
        <s v="16-Jan-25"/>
        <s v="15-Oct-25"/>
        <s v="23-May-25"/>
        <s v="21-Mar-25"/>
        <s v="03-Jul-25"/>
        <s v="24-Aug-25"/>
        <s v="10-Feb-25"/>
        <s v="05-Jul-25"/>
        <s v="05-Dec-25"/>
        <s v="21-Feb-25"/>
        <s v="09-Jul-25"/>
        <s v="28-Nov-25"/>
        <s v="25-Aug-25"/>
        <s v="19-Dec-25"/>
        <s v="29-Jan-25"/>
        <s v="18-May-25"/>
        <s v="13-Sep-25"/>
        <s v="26-Oct-25"/>
        <s v="10-Sep-25"/>
        <s v="18-Nov-25"/>
        <s v="02-Nov-25"/>
        <s v="15-Dec-25"/>
        <s v="17-May-25"/>
        <s v="21-Aug-25"/>
        <s v="02-Apr-25"/>
        <s v="24-Nov-25"/>
        <s v="29-Sep-25"/>
        <s v="07-Jun-25"/>
        <s v="13-Feb-25"/>
        <s v="30-Sep-25"/>
        <s v="16-May-25"/>
        <s v="20-Dec-25"/>
        <s v="11-Jul-25"/>
        <s v="02-Feb-25"/>
        <s v="23-Apr-25"/>
        <s v="28-Apr-25"/>
        <s v="21-Sep-25"/>
        <s v="09-Mar-25"/>
        <s v="08-Apr-25"/>
        <s v="30-Jul-25"/>
        <s v="01-Feb-25"/>
        <s v="08-May-25"/>
        <s v="04-Apr-25"/>
        <s v="09-Oct-25"/>
        <s v="17-Feb-25"/>
        <s v="25-Jul-25"/>
        <s v="12-Oct-25"/>
        <s v="30-Jan-25"/>
        <s v="26-Jan-25"/>
        <s v="01-Nov-25"/>
        <s v="24-Oct-25"/>
        <s v="09-Dec-25"/>
        <s v="10-Dec-25"/>
        <s v="23-Aug-25"/>
        <s v="22-Mar-25"/>
        <s v="01-Dec-25"/>
        <s v="06-Dec-25"/>
        <s v="11-Oct-25"/>
        <s v="25-Jun-25"/>
        <s v="02-Jan-25"/>
        <s v="15-Aug-25"/>
        <s v="10-Oct-25"/>
        <s v="21-Jan-25"/>
        <s v="01-Jul-25"/>
        <s v="31-Jul-25"/>
        <s v="15-Jul-25"/>
        <s v="06-Jun-25"/>
        <s v="18-Jun-25"/>
        <s v="29-Jun-25"/>
        <s v="15-Jan-25"/>
        <s v="25-Feb-25"/>
        <s v="07-Nov-25"/>
        <s v="11-May-25"/>
        <s v="16-Nov-25"/>
        <s v="17-Sep-25"/>
        <s v="31-Mar-25"/>
        <s v="27-May-25"/>
        <s v="02-Dec-25"/>
        <s v="19-Sep-25"/>
        <s v="08-Jun-25"/>
        <s v="01-Sep-25"/>
        <s v="10-Apr-25"/>
        <s v="01-Apr-25"/>
        <s v="04-Mar-25"/>
        <s v="10-Nov-25"/>
        <s v="23-Mar-25"/>
        <s v="22-May-25"/>
        <s v="09-Feb-25"/>
        <s v="04-Oct-25"/>
        <s v="20-Mar-25"/>
        <s v="05-Oct-25"/>
        <s v="27-Oct-25"/>
        <s v="22-Oct-25"/>
        <s v="19-Jul-25"/>
        <s v="05-Nov-25"/>
        <s v="26-Mar-25"/>
        <s v="14-Jan-25"/>
        <s v="10-Jan-25"/>
        <s v="29-Nov-25"/>
        <s v="13-Apr-25"/>
        <s v="28-Feb-25"/>
        <s v="08-Jul-25"/>
        <s v="09-Jun-25"/>
        <s v="12-Apr-25"/>
        <s v="04-Nov-25"/>
        <s v="08-Sep-25"/>
        <s v="30-Nov-25"/>
        <s v="12-Aug-25"/>
        <s v="09-Nov-25"/>
        <s v="24-May-25"/>
        <s v="31-May-25"/>
        <s v="25-Oct-25"/>
        <s v="03-Mar-25"/>
        <s v="05-Apr-25"/>
        <s v="29-Oct-25"/>
        <s v="01-Jun-25"/>
        <s v="01-Oct-25"/>
        <s v="30-May-25"/>
        <s v="18-Dec-25"/>
        <s v="19-Aug-25"/>
        <s v="17-Apr-25"/>
        <s v="03-May-25"/>
        <s v="28-Dec-25"/>
        <s v="17-Nov-25"/>
        <s v="31-Jan-25"/>
        <s v="28-May-25"/>
        <s v="26-Jul-25"/>
        <s v="03-Nov-25"/>
        <s v="09-May-25"/>
        <s v="28-Oct-25"/>
        <s v="03-Apr-25"/>
        <s v="29-Aug-25"/>
        <s v="24-Mar-25"/>
        <s v="15-Jun-25"/>
        <s v="03-Dec-25"/>
        <s v="15-Apr-25"/>
        <s v="24-Dec-25"/>
        <s v="28-Jul-25"/>
        <s v="18-Sep-25"/>
        <s v="05-May-25"/>
        <s v="01-Aug-25"/>
        <s v="02-Jun-25"/>
        <s v="03-Oct-25"/>
        <s v="22-Aug-25"/>
        <s v="20-Oct-25"/>
        <s v="23-Jan-25"/>
        <s v="17-Jul-25"/>
        <s v="15-Sep-25"/>
        <s v="12-Dec-25"/>
        <s v="07-Sep-25"/>
        <s v="17-Dec-25"/>
        <s v="20-Feb-25"/>
        <s v="17-Oct-25"/>
        <s v="29-Apr-25"/>
        <s v="27-Aug-25"/>
        <s v="12-Jan-25"/>
        <s v="27-Nov-25"/>
        <s v="04-Sep-25"/>
        <s v="08-Feb-25"/>
        <s v="11-Dec-25"/>
        <s v="17-Jun-25"/>
        <s v="25-Dec-25"/>
        <s v="05-Jun-25"/>
        <s v="18-Jul-25"/>
        <s v="16-Aug-25"/>
        <s v="06-Oct-25"/>
        <s v="06-Mar-25"/>
        <s v="08-Mar-25"/>
        <s v="04-Aug-25"/>
        <s v="18-Aug-25"/>
        <s v="24-Apr-25"/>
        <s v="24-Sep-25"/>
        <s v="03-Sep-25"/>
        <s v="23-Jun-25"/>
        <s v="07-Aug-25"/>
        <s v="31-Aug-25"/>
        <s v="10-Aug-25"/>
        <s v="27-Jan-25"/>
        <s v="19-Apr-25"/>
        <s v="26-Apr-25"/>
        <s v="11-Nov-25"/>
        <s v="16-Feb-25"/>
        <s v="24-Jun-25"/>
        <s v="18-Oct-25"/>
        <s v="13-Nov-25"/>
        <s v="06-Sep-25"/>
        <s v="20-Sep-25"/>
        <s v="14-Dec-25"/>
        <s v="12-Mar-25"/>
        <s v="09-Aug-25"/>
        <s v="14-Sep-25"/>
        <s v="21-Oct-25"/>
        <s v="16-Jun-25"/>
        <s v="15-Feb-25"/>
        <s v="26-Sep-25"/>
        <s v="28-Jun-25"/>
        <s v="11-Jun-25"/>
        <s v="22-Jan-25"/>
        <s v="19-Mar-25"/>
        <s v="13-Aug-25"/>
        <s v="25-May-25"/>
        <s v="18-Mar-25"/>
        <s v="27-Sep-25"/>
        <s v="02-May-25"/>
        <s v="06-Nov-25"/>
        <s v="12-Feb-25"/>
        <s v="23-Dec-25"/>
        <s v="08-Nov-25"/>
        <s v="04-Jun-25"/>
        <s v="15-Nov-25"/>
        <s v="02-Oct-25"/>
        <s v="02-Aug-25"/>
        <s v="22-Nov-25"/>
        <s v="04-Feb-25"/>
        <s v="23-Feb-25"/>
        <s v="26-Aug-25"/>
        <s v="20-May-25"/>
        <s v="14-Aug-25"/>
        <s v="21-Dec-25"/>
        <s v="06-Aug-25"/>
        <s v="07-Oct-25"/>
        <s v="23-Sep-25"/>
        <s v="17-Aug-25"/>
        <s v="14-Feb-25"/>
        <s v="25-Apr-25"/>
        <s v="07-Feb-25"/>
        <s v="23-Oct-25"/>
        <s v="29-May-25"/>
        <s v="10-Jun-25"/>
        <s v="24-Jul-25"/>
        <s v="04-May-25"/>
        <s v="19-Feb-25"/>
        <s v="03-Aug-25"/>
        <s v="20-Jun-25"/>
        <s v="13-Mar-25"/>
        <s v="03-Jun-25"/>
        <s v="19-Jun-25"/>
        <s v="14-Jul-25"/>
        <s v="26-Nov-25"/>
        <s v="16-Mar-25"/>
        <s v="27-Jun-25"/>
        <s v="14-Apr-25"/>
        <s v="12-Nov-25"/>
        <s v="30-Aug-25"/>
        <s v="11-Sep-25"/>
        <s v="25-Nov-25"/>
        <s v="28-Aug-25"/>
        <s v="25-Mar-25"/>
        <s v="08-Jan-25"/>
        <s v="14-May-25"/>
        <s v="01-May-25"/>
        <s v="26-Jun-25"/>
        <s v="13-Jul-25"/>
        <s v="10-Mar-25"/>
        <s v="28-Sep-25"/>
        <s v="18-Jan-25"/>
        <s v="30-Oct-25"/>
        <s v="14-Jun-25"/>
        <s v="19-Oct-25"/>
        <s v="12-May-25"/>
        <s v="30-Jun-25"/>
        <s v="25-Jan-25"/>
        <s v="21-May-25"/>
        <s v="09-Apr-25"/>
        <s v="23-Jul-25"/>
        <s v="16-Jul-25"/>
        <s v="09-Sep-25"/>
        <s v="06-Apr-25"/>
        <s v="07-May-25"/>
        <s v="31-Dec-25"/>
        <s v="04-Jul-25"/>
        <s v="28-Mar-25"/>
        <s v="24-Feb-25"/>
        <s v="14-Nov-25"/>
        <s v="16-Dec-25"/>
        <s v="29-Dec-25"/>
        <s v="05-Feb-25"/>
        <s v="10-May-25"/>
        <s v="07-Dec-25"/>
        <s v="14-Mar-25"/>
        <s v="05-Sep-25"/>
        <s v="20-Aug-25"/>
        <s v="16-Apr-25"/>
        <s v="05-Aug-25"/>
        <s v="30-Mar-25"/>
        <s v="16-Sep-25"/>
        <s v="30-Dec-25"/>
        <s v="26-Dec-25"/>
        <s v="13-Dec-25"/>
        <s v="08-Oct-25"/>
        <s v="01-Jan-25"/>
        <s v="08-Aug-25"/>
        <s v="07-Apr-25"/>
        <s v="21-Apr-25"/>
        <s v="06-Jan-25"/>
        <s v="22-Sep-25"/>
        <s v="21-Jun-25"/>
        <s v="13-Jun-25"/>
        <s v="11-Apr-25"/>
        <s v="31-Oct-25"/>
        <s v="11-Mar-25"/>
        <s v="17-Mar-25"/>
        <s v="27-Jul-25"/>
        <s v="18-Feb-25"/>
        <s v="12-Sep-25"/>
        <s v="20-Apr-25"/>
        <s v="30-Apr-25"/>
        <s v="21-Jul-25"/>
        <s v="28-Jan-25"/>
        <s v="29-Mar-25"/>
        <s v="01-Mar-25"/>
        <s v="15-May-25"/>
        <s v="25-Sep-25"/>
        <s v="22-Apr-25"/>
        <s v="07-Mar-25"/>
        <s v="15-Mar-25"/>
        <s v="02-Sep-25"/>
        <s v="22-Dec-25"/>
        <s v="07-Jul-25"/>
        <s v="26-Feb-25"/>
        <s v="24-Jan-25"/>
        <s v="10-Jul-25"/>
        <s v="27-Mar-25"/>
        <s v="07-Jan-25"/>
        <s v="23-Nov-25"/>
        <s v="29-Jul-25"/>
        <s v="27-Dec-25"/>
        <s v="19-Nov-25"/>
        <s v="06-Feb-25"/>
        <s v="02-Mar-25"/>
        <s v="05-Mar-25"/>
        <s v="12-Jun-25"/>
        <s v="19-Jan-25"/>
        <s v="06-Jul-25"/>
        <s v="12-Jul-25"/>
        <s v="04-Jan-25"/>
        <s v="03-Jan-25"/>
        <s v="02-Jul-25"/>
        <s v="19-May-25"/>
        <s v="13-Oct-25"/>
        <s v="22-Jun-25"/>
        <s v="26-May-25"/>
        <s v="05-Jan-25"/>
      </sharedItems>
    </cacheField>
    <cacheField name="InvoiceDate" numFmtId="14">
      <sharedItems/>
    </cacheField>
    <cacheField name="DueDate" numFmtId="14">
      <sharedItems/>
    </cacheField>
    <cacheField name="PaymentDate" numFmtId="14">
      <sharedItems containsBlank="1"/>
    </cacheField>
    <cacheField name="OrderValue" numFmtId="3">
      <sharedItems containsSemiMixedTypes="0" containsString="0" containsNumber="1" containsInteger="1" minValue="5000" maxValue="100000"/>
    </cacheField>
    <cacheField name="AmountPaid" numFmtId="3">
      <sharedItems containsSemiMixedTypes="0" containsString="0" containsNumber="1" containsInteger="1" minValue="0" maxValue="100000"/>
    </cacheField>
    <cacheField name="Status" numFmtId="0">
      <sharedItems count="6">
        <s v="Paid"/>
        <s v="Paid Late"/>
        <s v="Overdue"/>
        <s v="Cancelled"/>
        <s v="Outstanding"/>
        <s v="Partial"/>
      </sharedItems>
    </cacheField>
    <cacheField name="Days to invoice" numFmtId="0">
      <sharedItems containsSemiMixedTypes="0" containsString="0" containsNumber="1" containsInteger="1" minValue="1" maxValue="3"/>
    </cacheField>
    <cacheField name="CollectionDays" numFmtId="0">
      <sharedItems containsSemiMixedTypes="0" containsString="0" containsNumber="1" containsInteger="1" minValue="5" maxValue="528"/>
    </cacheField>
    <cacheField name="Outstanding Amount" numFmtId="3">
      <sharedItems containsSemiMixedTypes="0" containsString="0" containsNumber="1" containsInteger="1" minValue="0" maxValue="100000" count="37">
        <n v="0"/>
        <n v="50000"/>
        <n v="15000"/>
        <n v="60000"/>
        <n v="30000"/>
        <n v="8000"/>
        <n v="22500"/>
        <n v="35000"/>
        <n v="18000"/>
        <n v="10000"/>
        <n v="75000"/>
        <n v="55000"/>
        <n v="25000"/>
        <n v="2500"/>
        <n v="20000"/>
        <n v="5000"/>
        <n v="40000"/>
        <n v="100000"/>
        <n v="12000"/>
        <n v="7500"/>
        <n v="5500"/>
        <n v="22000"/>
        <n v="45000"/>
        <n v="37500"/>
        <n v="41250"/>
        <n v="27500"/>
        <n v="12500"/>
        <n v="11250"/>
        <n v="2000"/>
        <n v="18750"/>
        <n v="9000"/>
        <n v="13750"/>
        <n v="13500"/>
        <n v="26250"/>
        <n v="8750"/>
        <n v="4000"/>
        <n v="56250"/>
      </sharedItems>
    </cacheField>
    <cacheField name="Aging Bucket" numFmtId="0">
      <sharedItems count="3">
        <s v="0-30 Days"/>
        <s v="31-60 Days"/>
        <s v="90+ Days"/>
      </sharedItems>
    </cacheField>
  </cacheFields>
  <extLst>
    <ext xmlns:x14="http://schemas.microsoft.com/office/spreadsheetml/2009/9/main" uri="{725AE2AE-9491-48be-B2B4-4EB974FC3084}">
      <x14:pivotCacheDefinition pivotCacheId="9774763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anakya" refreshedDate="46189.667635532409" backgroundQuery="1" createdVersion="8" refreshedVersion="8" minRefreshableVersion="3" recordCount="0" supportSubquery="1" supportAdvancedDrill="1" xr:uid="{1CC7DE92-FA8D-40E4-87F5-425681E960C3}">
  <cacheSource type="external" connectionId="1"/>
  <cacheFields count="2">
    <cacheField name="[Range].[Month].[Month]" caption="Month" numFmtId="0" hierarchy="3" level="1">
      <sharedItems count="12">
        <s v="Apr"/>
        <s v="Aug"/>
        <s v="Dec"/>
        <s v="Feb"/>
        <s v="Jan"/>
        <s v="Jul"/>
        <s v="Jun"/>
        <s v="Mar"/>
        <s v="May"/>
        <s v="Nov"/>
        <s v="Oct"/>
        <s v="Sep"/>
      </sharedItems>
    </cacheField>
    <cacheField name="[Measures].[Sum of OrderValue]" caption="Sum of OrderValue" numFmtId="0" hierarchy="17" level="32767"/>
  </cacheFields>
  <cacheHierarchies count="18">
    <cacheHierarchy uniqueName="[Range].[OrderID]" caption="OrderID" attribute="1" defaultMemberUniqueName="[Range].[OrderID].[All]" allUniqueName="[Range].[OrderID].[All]" dimensionUniqueName="[Range]" displayFolder="" count="0" memberValueDatatype="130" unbalanced="0"/>
    <cacheHierarchy uniqueName="[Range].[Customer]" caption="Customer" attribute="1" defaultMemberUniqueName="[Range].[Customer].[All]" allUniqueName="[Range].[Customer].[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Month]" caption="Month" attribute="1" defaultMemberUniqueName="[Range].[Month].[All]" allUniqueName="[Range].[Month].[All]" dimensionUniqueName="[Range]" displayFolder="" count="2" memberValueDatatype="130" unbalanced="0">
      <fieldsUsage count="2">
        <fieldUsage x="-1"/>
        <fieldUsage x="0"/>
      </fieldsUsage>
    </cacheHierarchy>
    <cacheHierarchy uniqueName="[Range].[OrderDate]" caption="OrderDate" attribute="1" defaultMemberUniqueName="[Range].[OrderDate].[All]" allUniqueName="[Range].[OrderDate].[All]" dimensionUniqueName="[Range]" displayFolder="" count="0" memberValueDatatype="130" unbalanced="0"/>
    <cacheHierarchy uniqueName="[Range].[InvoiceDate]" caption="InvoiceDate" attribute="1" defaultMemberUniqueName="[Range].[InvoiceDate].[All]" allUniqueName="[Range].[InvoiceDate].[All]" dimensionUniqueName="[Range]" displayFolder="" count="0" memberValueDatatype="130" unbalanced="0"/>
    <cacheHierarchy uniqueName="[Range].[DueDate]" caption="DueDate" attribute="1" defaultMemberUniqueName="[Range].[DueDate].[All]" allUniqueName="[Range].[DueDate].[All]" dimensionUniqueName="[Range]" displayFolder="" count="0" memberValueDatatype="130" unbalanced="0"/>
    <cacheHierarchy uniqueName="[Range].[PaymentDate]" caption="PaymentDate" attribute="1" defaultMemberUniqueName="[Range].[PaymentDate].[All]" allUniqueName="[Range].[PaymentDate].[All]" dimensionUniqueName="[Range]" displayFolder="" count="0" memberValueDatatype="130" unbalanced="0"/>
    <cacheHierarchy uniqueName="[Range].[OrderValue]" caption="OrderValue" attribute="1" defaultMemberUniqueName="[Range].[OrderValue].[All]" allUniqueName="[Range].[OrderValue].[All]" dimensionUniqueName="[Range]" displayFolder="" count="0" memberValueDatatype="20" unbalanced="0"/>
    <cacheHierarchy uniqueName="[Range].[AmountPaid]" caption="AmountPaid" attribute="1" defaultMemberUniqueName="[Range].[AmountPaid].[All]" allUniqueName="[Range].[AmountPaid].[All]" dimensionUniqueName="[Range]" displayFolder="" count="0" memberValueDatatype="20" unbalanced="0"/>
    <cacheHierarchy uniqueName="[Range].[Status]" caption="Status" attribute="1" defaultMemberUniqueName="[Range].[Status].[All]" allUniqueName="[Range].[Status].[All]" dimensionUniqueName="[Range]" displayFolder="" count="0" memberValueDatatype="130" unbalanced="0"/>
    <cacheHierarchy uniqueName="[Range].[Days to invoice]" caption="Days to invoice" attribute="1" defaultMemberUniqueName="[Range].[Days to invoice].[All]" allUniqueName="[Range].[Days to invoice].[All]" dimensionUniqueName="[Range]" displayFolder="" count="0" memberValueDatatype="20" unbalanced="0"/>
    <cacheHierarchy uniqueName="[Range].[CollectionDays]" caption="CollectionDays" attribute="1" defaultMemberUniqueName="[Range].[CollectionDays].[All]" allUniqueName="[Range].[CollectionDays].[All]" dimensionUniqueName="[Range]" displayFolder="" count="0" memberValueDatatype="20" unbalanced="0"/>
    <cacheHierarchy uniqueName="[Range].[Outstanding Amount]" caption="Outstanding Amount" attribute="1" defaultMemberUniqueName="[Range].[Outstanding Amount].[All]" allUniqueName="[Range].[Outstanding Amount].[All]" dimensionUniqueName="[Range]" displayFolder="" count="0" memberValueDatatype="20" unbalanced="0"/>
    <cacheHierarchy uniqueName="[Range].[Aging Bucket]" caption="Aging Bucket" attribute="1" defaultMemberUniqueName="[Range].[Aging Bucket].[All]" allUniqueName="[Range].[Aging Bucket].[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OrderValue]" caption="Sum of OrderValue" measure="1" displayFolder="" measureGroup="Range" count="0" oneField="1" hidden="1">
      <fieldsUsage count="1">
        <fieldUsage x="1"/>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0001"/>
    <x v="0"/>
    <x v="0"/>
    <x v="0"/>
    <s v="28-Feb-25"/>
    <s v="30-Mar-25"/>
    <s v="09-Mar-25"/>
    <n v="50000"/>
    <n v="50000"/>
    <x v="0"/>
    <n v="1"/>
    <n v="9"/>
    <x v="0"/>
    <x v="0"/>
  </r>
  <r>
    <s v="O0002"/>
    <x v="1"/>
    <x v="0"/>
    <x v="1"/>
    <s v="25-Feb-25"/>
    <s v="27-Mar-25"/>
    <s v="15-Mar-25"/>
    <n v="55000"/>
    <n v="55000"/>
    <x v="0"/>
    <n v="3"/>
    <n v="18"/>
    <x v="0"/>
    <x v="0"/>
  </r>
  <r>
    <s v="O0003"/>
    <x v="2"/>
    <x v="1"/>
    <x v="2"/>
    <s v="17-Jan-25"/>
    <s v="16-Feb-25"/>
    <s v="10-Feb-25"/>
    <n v="30000"/>
    <n v="30000"/>
    <x v="0"/>
    <n v="1"/>
    <n v="24"/>
    <x v="0"/>
    <x v="0"/>
  </r>
  <r>
    <s v="O0004"/>
    <x v="3"/>
    <x v="2"/>
    <x v="3"/>
    <s v="16-Oct-25"/>
    <s v="15-Nov-25"/>
    <s v="04-Nov-25"/>
    <n v="55000"/>
    <n v="55000"/>
    <x v="0"/>
    <n v="1"/>
    <n v="19"/>
    <x v="0"/>
    <x v="0"/>
  </r>
  <r>
    <s v="O0005"/>
    <x v="4"/>
    <x v="3"/>
    <x v="4"/>
    <s v="24-May-25"/>
    <s v="23-Jun-25"/>
    <s v="04-Jul-25"/>
    <n v="25000"/>
    <n v="25000"/>
    <x v="1"/>
    <n v="1"/>
    <n v="41"/>
    <x v="0"/>
    <x v="1"/>
  </r>
  <r>
    <s v="O0006"/>
    <x v="5"/>
    <x v="3"/>
    <x v="5"/>
    <s v="22-Mar-25"/>
    <s v="21-Apr-25"/>
    <s v="08-Apr-25"/>
    <n v="75000"/>
    <n v="75000"/>
    <x v="0"/>
    <n v="1"/>
    <n v="17"/>
    <x v="0"/>
    <x v="0"/>
  </r>
  <r>
    <s v="O0007"/>
    <x v="6"/>
    <x v="3"/>
    <x v="6"/>
    <s v="05-Jul-25"/>
    <s v="04-Aug-25"/>
    <m/>
    <n v="50000"/>
    <n v="0"/>
    <x v="2"/>
    <n v="2"/>
    <n v="345"/>
    <x v="1"/>
    <x v="2"/>
  </r>
  <r>
    <s v="O0008"/>
    <x v="7"/>
    <x v="0"/>
    <x v="7"/>
    <s v="27-Aug-25"/>
    <s v="26-Sep-25"/>
    <m/>
    <n v="15000"/>
    <n v="0"/>
    <x v="3"/>
    <n v="3"/>
    <n v="292"/>
    <x v="2"/>
    <x v="2"/>
  </r>
  <r>
    <s v="O0009"/>
    <x v="8"/>
    <x v="0"/>
    <x v="8"/>
    <s v="13-Feb-25"/>
    <s v="15-Mar-25"/>
    <m/>
    <n v="60000"/>
    <n v="0"/>
    <x v="2"/>
    <n v="3"/>
    <n v="487"/>
    <x v="3"/>
    <x v="2"/>
  </r>
  <r>
    <s v="O0010"/>
    <x v="9"/>
    <x v="2"/>
    <x v="9"/>
    <s v="08-Jul-25"/>
    <s v="07-Aug-25"/>
    <m/>
    <n v="30000"/>
    <n v="0"/>
    <x v="4"/>
    <n v="3"/>
    <n v="342"/>
    <x v="4"/>
    <x v="2"/>
  </r>
  <r>
    <s v="O0011"/>
    <x v="10"/>
    <x v="1"/>
    <x v="10"/>
    <s v="06-Dec-25"/>
    <s v="05-Jan-26"/>
    <m/>
    <n v="60000"/>
    <n v="0"/>
    <x v="3"/>
    <n v="1"/>
    <n v="191"/>
    <x v="3"/>
    <x v="2"/>
  </r>
  <r>
    <s v="O0012"/>
    <x v="11"/>
    <x v="2"/>
    <x v="11"/>
    <s v="23-Feb-25"/>
    <s v="25-Mar-25"/>
    <s v="11-Mar-25"/>
    <n v="50000"/>
    <n v="50000"/>
    <x v="0"/>
    <n v="2"/>
    <n v="16"/>
    <x v="0"/>
    <x v="0"/>
  </r>
  <r>
    <s v="O0013"/>
    <x v="12"/>
    <x v="0"/>
    <x v="12"/>
    <s v="11-Jul-25"/>
    <s v="10-Aug-25"/>
    <s v="02-Sep-25"/>
    <n v="30000"/>
    <n v="30000"/>
    <x v="1"/>
    <n v="2"/>
    <n v="53"/>
    <x v="0"/>
    <x v="1"/>
  </r>
  <r>
    <s v="O0014"/>
    <x v="13"/>
    <x v="0"/>
    <x v="13"/>
    <s v="29-Nov-25"/>
    <s v="29-Dec-25"/>
    <s v="11-Dec-25"/>
    <n v="25000"/>
    <n v="25000"/>
    <x v="0"/>
    <n v="1"/>
    <n v="12"/>
    <x v="0"/>
    <x v="0"/>
  </r>
  <r>
    <s v="O0015"/>
    <x v="12"/>
    <x v="0"/>
    <x v="14"/>
    <s v="27-Aug-25"/>
    <s v="26-Sep-25"/>
    <m/>
    <n v="50000"/>
    <n v="0"/>
    <x v="3"/>
    <n v="2"/>
    <n v="292"/>
    <x v="1"/>
    <x v="2"/>
  </r>
  <r>
    <s v="O0016"/>
    <x v="0"/>
    <x v="0"/>
    <x v="15"/>
    <s v="22-Dec-25"/>
    <s v="21-Jan-26"/>
    <s v="17-Feb-26"/>
    <n v="40000"/>
    <n v="40000"/>
    <x v="1"/>
    <n v="3"/>
    <n v="57"/>
    <x v="0"/>
    <x v="1"/>
  </r>
  <r>
    <s v="O0017"/>
    <x v="14"/>
    <x v="0"/>
    <x v="16"/>
    <s v="30-Jan-25"/>
    <s v="01-Mar-25"/>
    <m/>
    <n v="8000"/>
    <n v="0"/>
    <x v="2"/>
    <n v="1"/>
    <n v="501"/>
    <x v="5"/>
    <x v="2"/>
  </r>
  <r>
    <s v="O0018"/>
    <x v="15"/>
    <x v="0"/>
    <x v="17"/>
    <s v="19-May-25"/>
    <s v="18-Jun-25"/>
    <s v="13-Jun-25"/>
    <n v="30000"/>
    <n v="7500"/>
    <x v="5"/>
    <n v="1"/>
    <n v="25"/>
    <x v="6"/>
    <x v="0"/>
  </r>
  <r>
    <s v="O0019"/>
    <x v="16"/>
    <x v="0"/>
    <x v="18"/>
    <s v="15-Sep-25"/>
    <s v="15-Oct-25"/>
    <s v="24-Sep-25"/>
    <n v="22000"/>
    <n v="22000"/>
    <x v="0"/>
    <n v="2"/>
    <n v="9"/>
    <x v="0"/>
    <x v="0"/>
  </r>
  <r>
    <s v="O0020"/>
    <x v="17"/>
    <x v="3"/>
    <x v="3"/>
    <s v="18-Oct-25"/>
    <s v="17-Nov-25"/>
    <m/>
    <n v="50000"/>
    <n v="0"/>
    <x v="4"/>
    <n v="3"/>
    <n v="240"/>
    <x v="1"/>
    <x v="2"/>
  </r>
  <r>
    <s v="O0021"/>
    <x v="18"/>
    <x v="0"/>
    <x v="19"/>
    <s v="28-Oct-25"/>
    <s v="27-Nov-25"/>
    <s v="06-Nov-25"/>
    <n v="100000"/>
    <n v="100000"/>
    <x v="0"/>
    <n v="2"/>
    <n v="9"/>
    <x v="0"/>
    <x v="0"/>
  </r>
  <r>
    <s v="O0022"/>
    <x v="19"/>
    <x v="0"/>
    <x v="20"/>
    <s v="11-Sep-25"/>
    <s v="11-Oct-25"/>
    <m/>
    <n v="8000"/>
    <n v="0"/>
    <x v="2"/>
    <n v="1"/>
    <n v="277"/>
    <x v="5"/>
    <x v="2"/>
  </r>
  <r>
    <s v="O0023"/>
    <x v="20"/>
    <x v="2"/>
    <x v="21"/>
    <s v="19-Nov-25"/>
    <s v="19-Dec-25"/>
    <s v="01-Jan-26"/>
    <n v="18000"/>
    <n v="18000"/>
    <x v="1"/>
    <n v="1"/>
    <n v="43"/>
    <x v="0"/>
    <x v="1"/>
  </r>
  <r>
    <s v="O0024"/>
    <x v="8"/>
    <x v="0"/>
    <x v="22"/>
    <s v="04-Nov-25"/>
    <s v="04-Dec-25"/>
    <s v="26-Nov-25"/>
    <n v="45000"/>
    <n v="45000"/>
    <x v="0"/>
    <n v="2"/>
    <n v="22"/>
    <x v="0"/>
    <x v="0"/>
  </r>
  <r>
    <s v="O0025"/>
    <x v="21"/>
    <x v="0"/>
    <x v="23"/>
    <s v="18-Dec-25"/>
    <s v="17-Jan-26"/>
    <s v="04-Feb-26"/>
    <n v="15000"/>
    <n v="15000"/>
    <x v="1"/>
    <n v="3"/>
    <n v="48"/>
    <x v="0"/>
    <x v="1"/>
  </r>
  <r>
    <s v="O0026"/>
    <x v="22"/>
    <x v="2"/>
    <x v="24"/>
    <s v="20-May-25"/>
    <s v="19-Jun-25"/>
    <s v="07-Jun-25"/>
    <n v="75000"/>
    <n v="75000"/>
    <x v="0"/>
    <n v="3"/>
    <n v="18"/>
    <x v="0"/>
    <x v="0"/>
  </r>
  <r>
    <s v="O0027"/>
    <x v="12"/>
    <x v="0"/>
    <x v="25"/>
    <s v="22-Aug-25"/>
    <s v="21-Sep-25"/>
    <m/>
    <n v="50000"/>
    <n v="0"/>
    <x v="3"/>
    <n v="1"/>
    <n v="297"/>
    <x v="1"/>
    <x v="2"/>
  </r>
  <r>
    <s v="O0028"/>
    <x v="23"/>
    <x v="3"/>
    <x v="26"/>
    <s v="05-Apr-25"/>
    <s v="05-May-25"/>
    <m/>
    <n v="15000"/>
    <n v="0"/>
    <x v="2"/>
    <n v="3"/>
    <n v="436"/>
    <x v="2"/>
    <x v="2"/>
  </r>
  <r>
    <s v="O0029"/>
    <x v="24"/>
    <x v="1"/>
    <x v="27"/>
    <s v="27-Nov-25"/>
    <s v="27-Dec-25"/>
    <s v="07-Dec-25"/>
    <n v="30000"/>
    <n v="30000"/>
    <x v="0"/>
    <n v="3"/>
    <n v="10"/>
    <x v="0"/>
    <x v="0"/>
  </r>
  <r>
    <s v="O0030"/>
    <x v="25"/>
    <x v="0"/>
    <x v="28"/>
    <s v="30-Sep-25"/>
    <s v="30-Oct-25"/>
    <s v="08-Oct-25"/>
    <n v="75000"/>
    <n v="75000"/>
    <x v="0"/>
    <n v="1"/>
    <n v="8"/>
    <x v="0"/>
    <x v="0"/>
  </r>
  <r>
    <s v="O0031"/>
    <x v="26"/>
    <x v="0"/>
    <x v="29"/>
    <s v="08-Jun-25"/>
    <s v="08-Jul-25"/>
    <s v="01-Jul-25"/>
    <n v="8000"/>
    <n v="8000"/>
    <x v="0"/>
    <n v="1"/>
    <n v="23"/>
    <x v="0"/>
    <x v="0"/>
  </r>
  <r>
    <s v="O0032"/>
    <x v="27"/>
    <x v="2"/>
    <x v="30"/>
    <s v="16-Feb-25"/>
    <s v="18-Mar-25"/>
    <m/>
    <n v="35000"/>
    <n v="0"/>
    <x v="2"/>
    <n v="3"/>
    <n v="484"/>
    <x v="7"/>
    <x v="2"/>
  </r>
  <r>
    <s v="O0033"/>
    <x v="23"/>
    <x v="3"/>
    <x v="31"/>
    <s v="01-Oct-25"/>
    <s v="31-Oct-25"/>
    <s v="18-Nov-25"/>
    <n v="20000"/>
    <n v="20000"/>
    <x v="1"/>
    <n v="1"/>
    <n v="48"/>
    <x v="0"/>
    <x v="1"/>
  </r>
  <r>
    <s v="O0034"/>
    <x v="28"/>
    <x v="1"/>
    <x v="32"/>
    <s v="19-May-25"/>
    <s v="18-Jun-25"/>
    <m/>
    <n v="18000"/>
    <n v="0"/>
    <x v="3"/>
    <n v="3"/>
    <n v="392"/>
    <x v="8"/>
    <x v="2"/>
  </r>
  <r>
    <s v="O0035"/>
    <x v="25"/>
    <x v="0"/>
    <x v="33"/>
    <s v="21-Dec-25"/>
    <s v="20-Jan-26"/>
    <s v="16-Jan-26"/>
    <n v="60000"/>
    <n v="60000"/>
    <x v="0"/>
    <n v="1"/>
    <n v="26"/>
    <x v="0"/>
    <x v="0"/>
  </r>
  <r>
    <s v="O0036"/>
    <x v="16"/>
    <x v="0"/>
    <x v="34"/>
    <s v="13-Jul-25"/>
    <s v="12-Aug-25"/>
    <s v="25-Jul-25"/>
    <n v="45000"/>
    <n v="45000"/>
    <x v="0"/>
    <n v="2"/>
    <n v="12"/>
    <x v="0"/>
    <x v="0"/>
  </r>
  <r>
    <s v="O0037"/>
    <x v="29"/>
    <x v="1"/>
    <x v="35"/>
    <s v="04-Feb-25"/>
    <s v="06-Mar-25"/>
    <s v="14-Mar-25"/>
    <n v="5000"/>
    <n v="5000"/>
    <x v="1"/>
    <n v="2"/>
    <n v="38"/>
    <x v="0"/>
    <x v="1"/>
  </r>
  <r>
    <s v="O0038"/>
    <x v="4"/>
    <x v="3"/>
    <x v="36"/>
    <s v="24-Apr-25"/>
    <s v="24-May-25"/>
    <m/>
    <n v="10000"/>
    <n v="0"/>
    <x v="4"/>
    <n v="1"/>
    <n v="417"/>
    <x v="9"/>
    <x v="2"/>
  </r>
  <r>
    <s v="O0039"/>
    <x v="30"/>
    <x v="0"/>
    <x v="37"/>
    <s v="29-Apr-25"/>
    <s v="29-May-25"/>
    <m/>
    <n v="8000"/>
    <n v="0"/>
    <x v="2"/>
    <n v="1"/>
    <n v="412"/>
    <x v="5"/>
    <x v="2"/>
  </r>
  <r>
    <s v="O0040"/>
    <x v="31"/>
    <x v="0"/>
    <x v="38"/>
    <s v="22-Sep-25"/>
    <s v="22-Oct-25"/>
    <s v="29-Oct-25"/>
    <n v="50000"/>
    <n v="50000"/>
    <x v="1"/>
    <n v="1"/>
    <n v="37"/>
    <x v="0"/>
    <x v="1"/>
  </r>
  <r>
    <s v="O0041"/>
    <x v="25"/>
    <x v="0"/>
    <x v="39"/>
    <s v="12-Mar-25"/>
    <s v="11-Apr-25"/>
    <s v="01-Apr-25"/>
    <n v="35000"/>
    <n v="35000"/>
    <x v="0"/>
    <n v="3"/>
    <n v="20"/>
    <x v="0"/>
    <x v="0"/>
  </r>
  <r>
    <s v="O0042"/>
    <x v="32"/>
    <x v="0"/>
    <x v="40"/>
    <s v="09-Apr-25"/>
    <s v="09-May-25"/>
    <s v="21-May-25"/>
    <n v="15000"/>
    <n v="15000"/>
    <x v="1"/>
    <n v="1"/>
    <n v="42"/>
    <x v="0"/>
    <x v="1"/>
  </r>
  <r>
    <s v="O0043"/>
    <x v="18"/>
    <x v="0"/>
    <x v="41"/>
    <s v="01-Aug-25"/>
    <s v="31-Aug-25"/>
    <s v="21-Sep-25"/>
    <n v="8000"/>
    <n v="8000"/>
    <x v="1"/>
    <n v="2"/>
    <n v="51"/>
    <x v="0"/>
    <x v="1"/>
  </r>
  <r>
    <s v="O0044"/>
    <x v="6"/>
    <x v="3"/>
    <x v="42"/>
    <s v="03-Feb-25"/>
    <s v="05-Mar-25"/>
    <m/>
    <n v="75000"/>
    <n v="0"/>
    <x v="2"/>
    <n v="2"/>
    <n v="497"/>
    <x v="10"/>
    <x v="2"/>
  </r>
  <r>
    <s v="O0045"/>
    <x v="33"/>
    <x v="3"/>
    <x v="43"/>
    <s v="09-May-25"/>
    <s v="08-Jun-25"/>
    <s v="18-May-25"/>
    <n v="30000"/>
    <n v="30000"/>
    <x v="0"/>
    <n v="1"/>
    <n v="9"/>
    <x v="0"/>
    <x v="0"/>
  </r>
  <r>
    <s v="O0046"/>
    <x v="18"/>
    <x v="0"/>
    <x v="44"/>
    <s v="06-Apr-25"/>
    <s v="06-May-25"/>
    <s v="13-Apr-25"/>
    <n v="22000"/>
    <n v="22000"/>
    <x v="0"/>
    <n v="2"/>
    <n v="7"/>
    <x v="0"/>
    <x v="0"/>
  </r>
  <r>
    <s v="O0047"/>
    <x v="34"/>
    <x v="0"/>
    <x v="45"/>
    <s v="10-Oct-25"/>
    <s v="09-Nov-25"/>
    <s v="27-Nov-25"/>
    <n v="8000"/>
    <n v="8000"/>
    <x v="1"/>
    <n v="1"/>
    <n v="48"/>
    <x v="0"/>
    <x v="1"/>
  </r>
  <r>
    <s v="O0048"/>
    <x v="21"/>
    <x v="0"/>
    <x v="46"/>
    <s v="18-Feb-25"/>
    <s v="20-Mar-25"/>
    <s v="10-Mar-25"/>
    <n v="25000"/>
    <n v="25000"/>
    <x v="0"/>
    <n v="1"/>
    <n v="20"/>
    <x v="0"/>
    <x v="0"/>
  </r>
  <r>
    <s v="O0049"/>
    <x v="35"/>
    <x v="0"/>
    <x v="47"/>
    <s v="26-Jul-25"/>
    <s v="25-Aug-25"/>
    <s v="12-Aug-25"/>
    <n v="25000"/>
    <n v="25000"/>
    <x v="0"/>
    <n v="1"/>
    <n v="17"/>
    <x v="0"/>
    <x v="0"/>
  </r>
  <r>
    <s v="O0050"/>
    <x v="36"/>
    <x v="1"/>
    <x v="25"/>
    <s v="23-Aug-25"/>
    <s v="22-Sep-25"/>
    <s v="16-Oct-25"/>
    <n v="18000"/>
    <n v="18000"/>
    <x v="1"/>
    <n v="2"/>
    <n v="54"/>
    <x v="0"/>
    <x v="1"/>
  </r>
  <r>
    <s v="O0051"/>
    <x v="37"/>
    <x v="2"/>
    <x v="48"/>
    <s v="15-Oct-25"/>
    <s v="14-Nov-25"/>
    <s v="29-Oct-25"/>
    <n v="35000"/>
    <n v="35000"/>
    <x v="0"/>
    <n v="3"/>
    <n v="14"/>
    <x v="0"/>
    <x v="0"/>
  </r>
  <r>
    <s v="O0052"/>
    <x v="35"/>
    <x v="0"/>
    <x v="49"/>
    <s v="02-Feb-25"/>
    <s v="04-Mar-25"/>
    <s v="17-Feb-25"/>
    <n v="55000"/>
    <n v="55000"/>
    <x v="0"/>
    <n v="3"/>
    <n v="15"/>
    <x v="0"/>
    <x v="0"/>
  </r>
  <r>
    <s v="O0053"/>
    <x v="30"/>
    <x v="0"/>
    <x v="50"/>
    <s v="29-Jan-25"/>
    <s v="28-Feb-25"/>
    <s v="19-Feb-25"/>
    <n v="35000"/>
    <n v="35000"/>
    <x v="0"/>
    <n v="3"/>
    <n v="21"/>
    <x v="0"/>
    <x v="0"/>
  </r>
  <r>
    <s v="O0054"/>
    <x v="12"/>
    <x v="0"/>
    <x v="49"/>
    <s v="02-Feb-25"/>
    <s v="04-Mar-25"/>
    <m/>
    <n v="10000"/>
    <n v="0"/>
    <x v="2"/>
    <n v="3"/>
    <n v="498"/>
    <x v="9"/>
    <x v="2"/>
  </r>
  <r>
    <s v="O0055"/>
    <x v="38"/>
    <x v="2"/>
    <x v="51"/>
    <s v="02-Nov-25"/>
    <s v="02-Dec-25"/>
    <s v="25-Nov-25"/>
    <n v="40000"/>
    <n v="40000"/>
    <x v="0"/>
    <n v="1"/>
    <n v="23"/>
    <x v="0"/>
    <x v="0"/>
  </r>
  <r>
    <s v="O0056"/>
    <x v="17"/>
    <x v="3"/>
    <x v="52"/>
    <s v="27-Oct-25"/>
    <s v="26-Nov-25"/>
    <s v="10-Dec-25"/>
    <n v="8000"/>
    <n v="8000"/>
    <x v="1"/>
    <n v="3"/>
    <n v="44"/>
    <x v="0"/>
    <x v="1"/>
  </r>
  <r>
    <s v="O0057"/>
    <x v="39"/>
    <x v="0"/>
    <x v="19"/>
    <s v="29-Oct-25"/>
    <s v="28-Nov-25"/>
    <s v="11-Nov-25"/>
    <n v="45000"/>
    <n v="45000"/>
    <x v="0"/>
    <n v="3"/>
    <n v="13"/>
    <x v="0"/>
    <x v="0"/>
  </r>
  <r>
    <s v="O0058"/>
    <x v="40"/>
    <x v="2"/>
    <x v="53"/>
    <s v="12-Dec-25"/>
    <s v="11-Jan-26"/>
    <s v="29-Dec-25"/>
    <n v="75000"/>
    <n v="75000"/>
    <x v="0"/>
    <n v="3"/>
    <n v="17"/>
    <x v="0"/>
    <x v="0"/>
  </r>
  <r>
    <s v="O0059"/>
    <x v="41"/>
    <x v="0"/>
    <x v="54"/>
    <s v="13-Dec-25"/>
    <s v="12-Jan-26"/>
    <s v="20-Dec-25"/>
    <n v="60000"/>
    <n v="60000"/>
    <x v="0"/>
    <n v="3"/>
    <n v="7"/>
    <x v="0"/>
    <x v="0"/>
  </r>
  <r>
    <s v="O0060"/>
    <x v="21"/>
    <x v="0"/>
    <x v="55"/>
    <s v="26-Aug-25"/>
    <s v="25-Sep-25"/>
    <s v="06-Sep-25"/>
    <n v="15000"/>
    <n v="15000"/>
    <x v="0"/>
    <n v="3"/>
    <n v="11"/>
    <x v="0"/>
    <x v="0"/>
  </r>
  <r>
    <s v="O0061"/>
    <x v="42"/>
    <x v="0"/>
    <x v="32"/>
    <s v="17-May-25"/>
    <s v="16-Jun-25"/>
    <s v="06-Jun-25"/>
    <n v="100000"/>
    <n v="50000"/>
    <x v="5"/>
    <n v="1"/>
    <n v="20"/>
    <x v="1"/>
    <x v="0"/>
  </r>
  <r>
    <s v="O0062"/>
    <x v="43"/>
    <x v="1"/>
    <x v="56"/>
    <s v="24-Mar-25"/>
    <s v="23-Apr-25"/>
    <m/>
    <n v="55000"/>
    <n v="0"/>
    <x v="4"/>
    <n v="2"/>
    <n v="448"/>
    <x v="11"/>
    <x v="2"/>
  </r>
  <r>
    <s v="O0063"/>
    <x v="44"/>
    <x v="0"/>
    <x v="57"/>
    <s v="04-Dec-25"/>
    <s v="03-Jan-26"/>
    <s v="21-Jan-26"/>
    <n v="5000"/>
    <n v="5000"/>
    <x v="1"/>
    <n v="3"/>
    <n v="48"/>
    <x v="0"/>
    <x v="1"/>
  </r>
  <r>
    <s v="O0064"/>
    <x v="24"/>
    <x v="1"/>
    <x v="58"/>
    <s v="07-Dec-25"/>
    <s v="06-Jan-26"/>
    <s v="15-Dec-25"/>
    <n v="20000"/>
    <n v="20000"/>
    <x v="0"/>
    <n v="1"/>
    <n v="8"/>
    <x v="0"/>
    <x v="0"/>
  </r>
  <r>
    <s v="O0065"/>
    <x v="45"/>
    <x v="0"/>
    <x v="59"/>
    <s v="12-Oct-25"/>
    <s v="11-Nov-25"/>
    <s v="23-Oct-25"/>
    <n v="50000"/>
    <n v="50000"/>
    <x v="0"/>
    <n v="1"/>
    <n v="11"/>
    <x v="0"/>
    <x v="0"/>
  </r>
  <r>
    <s v="O0066"/>
    <x v="46"/>
    <x v="0"/>
    <x v="60"/>
    <s v="26-Jun-25"/>
    <s v="26-Jul-25"/>
    <s v="09-Jul-25"/>
    <n v="50000"/>
    <n v="50000"/>
    <x v="0"/>
    <n v="1"/>
    <n v="13"/>
    <x v="0"/>
    <x v="0"/>
  </r>
  <r>
    <s v="O0067"/>
    <x v="47"/>
    <x v="2"/>
    <x v="46"/>
    <s v="20-Feb-25"/>
    <s v="22-Mar-25"/>
    <m/>
    <n v="18000"/>
    <n v="0"/>
    <x v="2"/>
    <n v="3"/>
    <n v="480"/>
    <x v="8"/>
    <x v="2"/>
  </r>
  <r>
    <s v="O0068"/>
    <x v="10"/>
    <x v="1"/>
    <x v="61"/>
    <s v="04-Jan-25"/>
    <s v="03-Feb-25"/>
    <s v="12-Feb-25"/>
    <n v="20000"/>
    <n v="20000"/>
    <x v="1"/>
    <n v="2"/>
    <n v="39"/>
    <x v="0"/>
    <x v="1"/>
  </r>
  <r>
    <s v="O0069"/>
    <x v="12"/>
    <x v="0"/>
    <x v="62"/>
    <s v="18-Aug-25"/>
    <s v="17-Sep-25"/>
    <s v="21-Sep-25"/>
    <n v="18000"/>
    <n v="18000"/>
    <x v="1"/>
    <n v="3"/>
    <n v="34"/>
    <x v="0"/>
    <x v="1"/>
  </r>
  <r>
    <s v="O0070"/>
    <x v="31"/>
    <x v="0"/>
    <x v="33"/>
    <s v="21-Dec-25"/>
    <s v="20-Jan-26"/>
    <s v="06-Jan-26"/>
    <n v="55000"/>
    <n v="55000"/>
    <x v="0"/>
    <n v="1"/>
    <n v="16"/>
    <x v="0"/>
    <x v="0"/>
  </r>
  <r>
    <s v="O0071"/>
    <x v="48"/>
    <x v="0"/>
    <x v="63"/>
    <s v="11-Oct-25"/>
    <s v="10-Nov-25"/>
    <s v="25-Oct-25"/>
    <n v="18000"/>
    <n v="18000"/>
    <x v="0"/>
    <n v="1"/>
    <n v="14"/>
    <x v="0"/>
    <x v="0"/>
  </r>
  <r>
    <s v="O0072"/>
    <x v="26"/>
    <x v="0"/>
    <x v="64"/>
    <s v="23-Jan-25"/>
    <s v="22-Feb-25"/>
    <s v="16-Mar-25"/>
    <n v="30000"/>
    <n v="30000"/>
    <x v="1"/>
    <n v="2"/>
    <n v="52"/>
    <x v="0"/>
    <x v="1"/>
  </r>
  <r>
    <s v="O0073"/>
    <x v="33"/>
    <x v="3"/>
    <x v="65"/>
    <s v="04-Jul-25"/>
    <s v="03-Aug-25"/>
    <m/>
    <n v="18000"/>
    <n v="0"/>
    <x v="3"/>
    <n v="3"/>
    <n v="346"/>
    <x v="8"/>
    <x v="2"/>
  </r>
  <r>
    <s v="O0074"/>
    <x v="45"/>
    <x v="0"/>
    <x v="5"/>
    <s v="22-Mar-25"/>
    <s v="21-Apr-25"/>
    <m/>
    <n v="25000"/>
    <n v="0"/>
    <x v="3"/>
    <n v="1"/>
    <n v="450"/>
    <x v="12"/>
    <x v="2"/>
  </r>
  <r>
    <s v="O0075"/>
    <x v="49"/>
    <x v="1"/>
    <x v="66"/>
    <s v="01-Aug-25"/>
    <s v="31-Aug-25"/>
    <m/>
    <n v="25000"/>
    <n v="0"/>
    <x v="4"/>
    <n v="1"/>
    <n v="318"/>
    <x v="12"/>
    <x v="2"/>
  </r>
  <r>
    <s v="O0076"/>
    <x v="50"/>
    <x v="0"/>
    <x v="41"/>
    <s v="02-Aug-25"/>
    <s v="01-Sep-25"/>
    <s v="29-Aug-25"/>
    <n v="40000"/>
    <n v="40000"/>
    <x v="0"/>
    <n v="3"/>
    <n v="27"/>
    <x v="0"/>
    <x v="0"/>
  </r>
  <r>
    <s v="O0077"/>
    <x v="33"/>
    <x v="3"/>
    <x v="67"/>
    <s v="16-Jul-25"/>
    <s v="15-Aug-25"/>
    <s v="04-Aug-25"/>
    <n v="35000"/>
    <n v="35000"/>
    <x v="0"/>
    <n v="1"/>
    <n v="19"/>
    <x v="0"/>
    <x v="0"/>
  </r>
  <r>
    <s v="O0078"/>
    <x v="51"/>
    <x v="0"/>
    <x v="68"/>
    <s v="07-Jun-25"/>
    <s v="07-Jul-25"/>
    <s v="18-Jun-25"/>
    <n v="40000"/>
    <n v="40000"/>
    <x v="0"/>
    <n v="1"/>
    <n v="11"/>
    <x v="0"/>
    <x v="0"/>
  </r>
  <r>
    <s v="O0079"/>
    <x v="15"/>
    <x v="0"/>
    <x v="69"/>
    <s v="20-Jun-25"/>
    <s v="20-Jul-25"/>
    <m/>
    <n v="10000"/>
    <n v="0"/>
    <x v="3"/>
    <n v="2"/>
    <n v="360"/>
    <x v="9"/>
    <x v="2"/>
  </r>
  <r>
    <s v="O0080"/>
    <x v="5"/>
    <x v="3"/>
    <x v="70"/>
    <s v="02-Jul-25"/>
    <s v="01-Aug-25"/>
    <s v="24-Jul-25"/>
    <n v="45000"/>
    <n v="45000"/>
    <x v="0"/>
    <n v="3"/>
    <n v="22"/>
    <x v="0"/>
    <x v="0"/>
  </r>
  <r>
    <s v="O0081"/>
    <x v="50"/>
    <x v="0"/>
    <x v="71"/>
    <s v="16-Jan-25"/>
    <s v="15-Feb-25"/>
    <s v="29-Jan-25"/>
    <n v="50000"/>
    <n v="50000"/>
    <x v="0"/>
    <n v="1"/>
    <n v="13"/>
    <x v="0"/>
    <x v="0"/>
  </r>
  <r>
    <s v="O0082"/>
    <x v="2"/>
    <x v="1"/>
    <x v="72"/>
    <s v="28-Feb-25"/>
    <s v="30-Mar-25"/>
    <s v="15-Mar-25"/>
    <n v="18000"/>
    <n v="18000"/>
    <x v="0"/>
    <n v="3"/>
    <n v="15"/>
    <x v="0"/>
    <x v="0"/>
  </r>
  <r>
    <s v="O0083"/>
    <x v="52"/>
    <x v="0"/>
    <x v="73"/>
    <s v="10-Nov-25"/>
    <s v="10-Dec-25"/>
    <s v="03-Dec-25"/>
    <n v="15000"/>
    <n v="15000"/>
    <x v="0"/>
    <n v="3"/>
    <n v="23"/>
    <x v="0"/>
    <x v="0"/>
  </r>
  <r>
    <s v="O0084"/>
    <x v="53"/>
    <x v="3"/>
    <x v="74"/>
    <s v="12-May-25"/>
    <s v="11-Jun-25"/>
    <s v="03-Jun-25"/>
    <n v="18000"/>
    <n v="18000"/>
    <x v="0"/>
    <n v="1"/>
    <n v="22"/>
    <x v="0"/>
    <x v="0"/>
  </r>
  <r>
    <s v="O0085"/>
    <x v="13"/>
    <x v="0"/>
    <x v="54"/>
    <s v="11-Dec-25"/>
    <s v="10-Jan-26"/>
    <s v="06-Jan-26"/>
    <n v="100000"/>
    <n v="100000"/>
    <x v="0"/>
    <n v="1"/>
    <n v="26"/>
    <x v="0"/>
    <x v="0"/>
  </r>
  <r>
    <s v="O0086"/>
    <x v="50"/>
    <x v="0"/>
    <x v="75"/>
    <s v="18-Nov-25"/>
    <s v="18-Dec-25"/>
    <m/>
    <n v="15000"/>
    <n v="0"/>
    <x v="4"/>
    <n v="2"/>
    <n v="209"/>
    <x v="2"/>
    <x v="2"/>
  </r>
  <r>
    <s v="O0087"/>
    <x v="24"/>
    <x v="1"/>
    <x v="76"/>
    <s v="19-Sep-25"/>
    <s v="19-Oct-25"/>
    <s v="16-Oct-25"/>
    <n v="18000"/>
    <n v="18000"/>
    <x v="0"/>
    <n v="2"/>
    <n v="27"/>
    <x v="0"/>
    <x v="0"/>
  </r>
  <r>
    <s v="O0088"/>
    <x v="54"/>
    <x v="0"/>
    <x v="59"/>
    <s v="12-Oct-25"/>
    <s v="11-Nov-25"/>
    <s v="29-Oct-25"/>
    <n v="30000"/>
    <n v="30000"/>
    <x v="0"/>
    <n v="1"/>
    <n v="17"/>
    <x v="0"/>
    <x v="0"/>
  </r>
  <r>
    <s v="O0089"/>
    <x v="55"/>
    <x v="0"/>
    <x v="77"/>
    <s v="03-Apr-25"/>
    <s v="03-May-25"/>
    <s v="08-Apr-25"/>
    <n v="60000"/>
    <n v="60000"/>
    <x v="0"/>
    <n v="3"/>
    <n v="5"/>
    <x v="0"/>
    <x v="0"/>
  </r>
  <r>
    <s v="O0090"/>
    <x v="24"/>
    <x v="1"/>
    <x v="78"/>
    <s v="28-May-25"/>
    <s v="27-Jun-25"/>
    <m/>
    <n v="18000"/>
    <n v="0"/>
    <x v="4"/>
    <n v="1"/>
    <n v="383"/>
    <x v="8"/>
    <x v="2"/>
  </r>
  <r>
    <s v="O0091"/>
    <x v="56"/>
    <x v="0"/>
    <x v="79"/>
    <s v="04-Dec-25"/>
    <s v="03-Jan-26"/>
    <s v="30-Dec-25"/>
    <n v="22000"/>
    <n v="22000"/>
    <x v="0"/>
    <n v="2"/>
    <n v="26"/>
    <x v="0"/>
    <x v="0"/>
  </r>
  <r>
    <s v="O0092"/>
    <x v="35"/>
    <x v="0"/>
    <x v="80"/>
    <s v="21-Sep-25"/>
    <s v="21-Oct-25"/>
    <s v="31-Oct-25"/>
    <n v="25000"/>
    <n v="25000"/>
    <x v="1"/>
    <n v="2"/>
    <n v="40"/>
    <x v="0"/>
    <x v="1"/>
  </r>
  <r>
    <s v="O0093"/>
    <x v="19"/>
    <x v="0"/>
    <x v="58"/>
    <s v="09-Dec-25"/>
    <s v="08-Jan-26"/>
    <s v="21-Dec-25"/>
    <n v="75000"/>
    <n v="75000"/>
    <x v="0"/>
    <n v="3"/>
    <n v="12"/>
    <x v="0"/>
    <x v="0"/>
  </r>
  <r>
    <s v="O0094"/>
    <x v="55"/>
    <x v="0"/>
    <x v="81"/>
    <s v="09-Jun-25"/>
    <s v="09-Jul-25"/>
    <s v="15-Jun-25"/>
    <n v="30000"/>
    <n v="30000"/>
    <x v="0"/>
    <n v="1"/>
    <n v="6"/>
    <x v="0"/>
    <x v="0"/>
  </r>
  <r>
    <s v="O0095"/>
    <x v="17"/>
    <x v="3"/>
    <x v="82"/>
    <s v="04-Sep-25"/>
    <s v="04-Oct-25"/>
    <s v="29-Sep-25"/>
    <n v="10000"/>
    <n v="10000"/>
    <x v="0"/>
    <n v="3"/>
    <n v="25"/>
    <x v="0"/>
    <x v="0"/>
  </r>
  <r>
    <s v="O0096"/>
    <x v="57"/>
    <x v="0"/>
    <x v="83"/>
    <s v="13-Apr-25"/>
    <s v="13-May-25"/>
    <s v="25-Apr-25"/>
    <n v="12000"/>
    <n v="12000"/>
    <x v="0"/>
    <n v="3"/>
    <n v="12"/>
    <x v="0"/>
    <x v="0"/>
  </r>
  <r>
    <s v="O0097"/>
    <x v="58"/>
    <x v="2"/>
    <x v="79"/>
    <s v="05-Dec-25"/>
    <s v="04-Jan-26"/>
    <s v="16-Dec-25"/>
    <n v="5000"/>
    <n v="2500"/>
    <x v="5"/>
    <n v="3"/>
    <n v="11"/>
    <x v="13"/>
    <x v="0"/>
  </r>
  <r>
    <s v="O0098"/>
    <x v="29"/>
    <x v="1"/>
    <x v="84"/>
    <s v="04-Apr-25"/>
    <s v="04-May-25"/>
    <s v="26-Apr-25"/>
    <n v="45000"/>
    <n v="45000"/>
    <x v="0"/>
    <n v="3"/>
    <n v="22"/>
    <x v="0"/>
    <x v="0"/>
  </r>
  <r>
    <s v="O0099"/>
    <x v="17"/>
    <x v="3"/>
    <x v="85"/>
    <s v="06-Mar-25"/>
    <s v="05-Apr-25"/>
    <m/>
    <n v="20000"/>
    <n v="0"/>
    <x v="2"/>
    <n v="2"/>
    <n v="466"/>
    <x v="14"/>
    <x v="2"/>
  </r>
  <r>
    <s v="O0100"/>
    <x v="59"/>
    <x v="0"/>
    <x v="28"/>
    <s v="02-Oct-25"/>
    <s v="01-Nov-25"/>
    <m/>
    <n v="75000"/>
    <n v="0"/>
    <x v="3"/>
    <n v="3"/>
    <n v="256"/>
    <x v="10"/>
    <x v="2"/>
  </r>
  <r>
    <s v="O0101"/>
    <x v="34"/>
    <x v="0"/>
    <x v="86"/>
    <s v="13-Nov-25"/>
    <s v="13-Dec-25"/>
    <s v="05-Dec-25"/>
    <n v="45000"/>
    <n v="45000"/>
    <x v="0"/>
    <n v="3"/>
    <n v="22"/>
    <x v="0"/>
    <x v="0"/>
  </r>
  <r>
    <s v="O0102"/>
    <x v="60"/>
    <x v="0"/>
    <x v="87"/>
    <s v="26-Mar-25"/>
    <s v="25-Apr-25"/>
    <s v="07-Apr-25"/>
    <n v="35000"/>
    <n v="35000"/>
    <x v="0"/>
    <n v="3"/>
    <n v="12"/>
    <x v="0"/>
    <x v="0"/>
  </r>
  <r>
    <s v="O0103"/>
    <x v="0"/>
    <x v="0"/>
    <x v="88"/>
    <s v="25-May-25"/>
    <s v="24-Jun-25"/>
    <s v="03-Jul-25"/>
    <n v="35000"/>
    <n v="35000"/>
    <x v="1"/>
    <n v="3"/>
    <n v="39"/>
    <x v="0"/>
    <x v="1"/>
  </r>
  <r>
    <s v="O0104"/>
    <x v="34"/>
    <x v="0"/>
    <x v="89"/>
    <s v="12-Feb-25"/>
    <s v="14-Mar-25"/>
    <s v="27-Feb-25"/>
    <n v="60000"/>
    <n v="60000"/>
    <x v="0"/>
    <n v="3"/>
    <n v="15"/>
    <x v="0"/>
    <x v="0"/>
  </r>
  <r>
    <s v="O0105"/>
    <x v="61"/>
    <x v="0"/>
    <x v="90"/>
    <s v="05-Oct-25"/>
    <s v="04-Nov-25"/>
    <s v="22-Oct-25"/>
    <n v="20000"/>
    <n v="20000"/>
    <x v="0"/>
    <n v="1"/>
    <n v="17"/>
    <x v="0"/>
    <x v="0"/>
  </r>
  <r>
    <s v="O0106"/>
    <x v="62"/>
    <x v="0"/>
    <x v="91"/>
    <s v="23-Mar-25"/>
    <s v="22-Apr-25"/>
    <s v="10-Apr-25"/>
    <n v="30000"/>
    <n v="30000"/>
    <x v="0"/>
    <n v="3"/>
    <n v="18"/>
    <x v="0"/>
    <x v="0"/>
  </r>
  <r>
    <s v="O0107"/>
    <x v="50"/>
    <x v="0"/>
    <x v="92"/>
    <s v="07-Oct-25"/>
    <s v="06-Nov-25"/>
    <s v="25-Oct-25"/>
    <n v="18000"/>
    <n v="18000"/>
    <x v="0"/>
    <n v="2"/>
    <n v="18"/>
    <x v="0"/>
    <x v="0"/>
  </r>
  <r>
    <s v="O0108"/>
    <x v="63"/>
    <x v="0"/>
    <x v="93"/>
    <s v="30-Oct-25"/>
    <s v="29-Nov-25"/>
    <m/>
    <n v="5000"/>
    <n v="0"/>
    <x v="2"/>
    <n v="3"/>
    <n v="228"/>
    <x v="15"/>
    <x v="2"/>
  </r>
  <r>
    <s v="O0109"/>
    <x v="23"/>
    <x v="3"/>
    <x v="94"/>
    <s v="24-Oct-25"/>
    <s v="23-Nov-25"/>
    <s v="09-Nov-25"/>
    <n v="35000"/>
    <n v="35000"/>
    <x v="0"/>
    <n v="2"/>
    <n v="16"/>
    <x v="0"/>
    <x v="0"/>
  </r>
  <r>
    <s v="O0110"/>
    <x v="24"/>
    <x v="1"/>
    <x v="95"/>
    <s v="21-Jul-25"/>
    <s v="20-Aug-25"/>
    <m/>
    <n v="55000"/>
    <n v="0"/>
    <x v="4"/>
    <n v="2"/>
    <n v="329"/>
    <x v="11"/>
    <x v="2"/>
  </r>
  <r>
    <s v="O0111"/>
    <x v="25"/>
    <x v="0"/>
    <x v="96"/>
    <s v="06-Nov-25"/>
    <s v="06-Dec-25"/>
    <s v="24-Nov-25"/>
    <n v="35000"/>
    <n v="35000"/>
    <x v="0"/>
    <n v="1"/>
    <n v="18"/>
    <x v="0"/>
    <x v="0"/>
  </r>
  <r>
    <s v="O0112"/>
    <x v="64"/>
    <x v="0"/>
    <x v="71"/>
    <s v="17-Jan-25"/>
    <s v="16-Feb-25"/>
    <s v="14-Mar-25"/>
    <n v="75000"/>
    <n v="75000"/>
    <x v="1"/>
    <n v="2"/>
    <n v="56"/>
    <x v="0"/>
    <x v="1"/>
  </r>
  <r>
    <s v="O0113"/>
    <x v="15"/>
    <x v="0"/>
    <x v="97"/>
    <s v="28-Mar-25"/>
    <s v="27-Apr-25"/>
    <m/>
    <n v="20000"/>
    <n v="0"/>
    <x v="3"/>
    <n v="2"/>
    <n v="444"/>
    <x v="14"/>
    <x v="2"/>
  </r>
  <r>
    <s v="O0114"/>
    <x v="65"/>
    <x v="0"/>
    <x v="98"/>
    <s v="16-Jan-25"/>
    <s v="15-Feb-25"/>
    <s v="03-Feb-25"/>
    <n v="5000"/>
    <n v="5000"/>
    <x v="0"/>
    <n v="2"/>
    <n v="18"/>
    <x v="0"/>
    <x v="0"/>
  </r>
  <r>
    <s v="O0115"/>
    <x v="66"/>
    <x v="3"/>
    <x v="14"/>
    <s v="26-Aug-25"/>
    <s v="25-Sep-25"/>
    <s v="10-Sep-25"/>
    <n v="8000"/>
    <n v="8000"/>
    <x v="0"/>
    <n v="1"/>
    <n v="15"/>
    <x v="0"/>
    <x v="0"/>
  </r>
  <r>
    <s v="O0116"/>
    <x v="35"/>
    <x v="0"/>
    <x v="25"/>
    <s v="23-Aug-25"/>
    <s v="22-Sep-25"/>
    <m/>
    <n v="75000"/>
    <n v="0"/>
    <x v="4"/>
    <n v="2"/>
    <n v="296"/>
    <x v="10"/>
    <x v="2"/>
  </r>
  <r>
    <s v="O0117"/>
    <x v="8"/>
    <x v="0"/>
    <x v="4"/>
    <s v="25-May-25"/>
    <s v="24-Jun-25"/>
    <m/>
    <n v="50000"/>
    <n v="0"/>
    <x v="2"/>
    <n v="2"/>
    <n v="386"/>
    <x v="1"/>
    <x v="2"/>
  </r>
  <r>
    <s v="O0118"/>
    <x v="67"/>
    <x v="0"/>
    <x v="99"/>
    <s v="13-Jan-25"/>
    <s v="12-Feb-25"/>
    <s v="29-Jan-25"/>
    <n v="55000"/>
    <n v="55000"/>
    <x v="0"/>
    <n v="3"/>
    <n v="16"/>
    <x v="0"/>
    <x v="0"/>
  </r>
  <r>
    <s v="O0119"/>
    <x v="29"/>
    <x v="1"/>
    <x v="100"/>
    <s v="30-Nov-25"/>
    <s v="30-Dec-25"/>
    <m/>
    <n v="8000"/>
    <n v="0"/>
    <x v="4"/>
    <n v="1"/>
    <n v="197"/>
    <x v="5"/>
    <x v="2"/>
  </r>
  <r>
    <s v="O0120"/>
    <x v="17"/>
    <x v="3"/>
    <x v="101"/>
    <s v="14-Apr-25"/>
    <s v="14-May-25"/>
    <s v="04-May-25"/>
    <n v="20000"/>
    <n v="20000"/>
    <x v="0"/>
    <n v="1"/>
    <n v="20"/>
    <x v="0"/>
    <x v="0"/>
  </r>
  <r>
    <s v="O0121"/>
    <x v="59"/>
    <x v="0"/>
    <x v="102"/>
    <s v="03-Mar-25"/>
    <s v="02-Apr-25"/>
    <s v="16-Mar-25"/>
    <n v="30000"/>
    <n v="30000"/>
    <x v="0"/>
    <n v="3"/>
    <n v="13"/>
    <x v="0"/>
    <x v="0"/>
  </r>
  <r>
    <s v="O0122"/>
    <x v="14"/>
    <x v="0"/>
    <x v="103"/>
    <s v="09-Jul-25"/>
    <s v="08-Aug-25"/>
    <m/>
    <n v="15000"/>
    <n v="0"/>
    <x v="4"/>
    <n v="1"/>
    <n v="341"/>
    <x v="2"/>
    <x v="2"/>
  </r>
  <r>
    <s v="O0123"/>
    <x v="12"/>
    <x v="0"/>
    <x v="104"/>
    <s v="10-Jun-25"/>
    <s v="10-Jul-25"/>
    <s v="09-Jul-25"/>
    <n v="5000"/>
    <n v="2500"/>
    <x v="5"/>
    <n v="1"/>
    <n v="29"/>
    <x v="13"/>
    <x v="0"/>
  </r>
  <r>
    <s v="O0124"/>
    <x v="46"/>
    <x v="0"/>
    <x v="105"/>
    <s v="13-Apr-25"/>
    <s v="13-May-25"/>
    <s v="27-Apr-25"/>
    <n v="40000"/>
    <n v="40000"/>
    <x v="0"/>
    <n v="1"/>
    <n v="14"/>
    <x v="0"/>
    <x v="0"/>
  </r>
  <r>
    <s v="O0125"/>
    <x v="13"/>
    <x v="0"/>
    <x v="106"/>
    <s v="05-Nov-25"/>
    <s v="05-Dec-25"/>
    <s v="23-Nov-25"/>
    <n v="8000"/>
    <n v="8000"/>
    <x v="0"/>
    <n v="1"/>
    <n v="18"/>
    <x v="0"/>
    <x v="0"/>
  </r>
  <r>
    <s v="O0126"/>
    <x v="39"/>
    <x v="0"/>
    <x v="12"/>
    <s v="10-Jul-25"/>
    <s v="09-Aug-25"/>
    <s v="10-Aug-25"/>
    <n v="45000"/>
    <n v="45000"/>
    <x v="1"/>
    <n v="1"/>
    <n v="31"/>
    <x v="0"/>
    <x v="1"/>
  </r>
  <r>
    <s v="O0127"/>
    <x v="68"/>
    <x v="1"/>
    <x v="107"/>
    <s v="09-Sep-25"/>
    <s v="09-Oct-25"/>
    <m/>
    <n v="18000"/>
    <n v="0"/>
    <x v="3"/>
    <n v="1"/>
    <n v="279"/>
    <x v="8"/>
    <x v="2"/>
  </r>
  <r>
    <s v="O0128"/>
    <x v="0"/>
    <x v="0"/>
    <x v="7"/>
    <s v="27-Aug-25"/>
    <s v="26-Sep-25"/>
    <s v="24-Sep-25"/>
    <n v="20000"/>
    <n v="20000"/>
    <x v="0"/>
    <n v="3"/>
    <n v="28"/>
    <x v="0"/>
    <x v="0"/>
  </r>
  <r>
    <s v="O0129"/>
    <x v="69"/>
    <x v="2"/>
    <x v="108"/>
    <s v="02-Dec-25"/>
    <s v="01-Jan-26"/>
    <m/>
    <n v="55000"/>
    <n v="0"/>
    <x v="4"/>
    <n v="2"/>
    <n v="195"/>
    <x v="11"/>
    <x v="2"/>
  </r>
  <r>
    <s v="O0130"/>
    <x v="70"/>
    <x v="3"/>
    <x v="109"/>
    <s v="15-Aug-25"/>
    <s v="14-Sep-25"/>
    <s v="27-Aug-25"/>
    <n v="50000"/>
    <n v="50000"/>
    <x v="0"/>
    <n v="3"/>
    <n v="12"/>
    <x v="0"/>
    <x v="0"/>
  </r>
  <r>
    <s v="O0131"/>
    <x v="71"/>
    <x v="1"/>
    <x v="4"/>
    <s v="25-May-25"/>
    <s v="24-Jun-25"/>
    <m/>
    <n v="40000"/>
    <n v="0"/>
    <x v="4"/>
    <n v="2"/>
    <n v="386"/>
    <x v="16"/>
    <x v="2"/>
  </r>
  <r>
    <s v="O0132"/>
    <x v="72"/>
    <x v="0"/>
    <x v="110"/>
    <s v="12-Nov-25"/>
    <s v="12-Dec-25"/>
    <s v="02-Dec-25"/>
    <n v="12000"/>
    <n v="12000"/>
    <x v="0"/>
    <n v="3"/>
    <n v="20"/>
    <x v="0"/>
    <x v="0"/>
  </r>
  <r>
    <s v="O0133"/>
    <x v="73"/>
    <x v="2"/>
    <x v="44"/>
    <s v="06-Apr-25"/>
    <s v="06-May-25"/>
    <s v="19-Apr-25"/>
    <n v="30000"/>
    <n v="30000"/>
    <x v="0"/>
    <n v="2"/>
    <n v="13"/>
    <x v="0"/>
    <x v="0"/>
  </r>
  <r>
    <s v="O0134"/>
    <x v="74"/>
    <x v="0"/>
    <x v="111"/>
    <s v="27-May-25"/>
    <s v="26-Jun-25"/>
    <s v="13-Jul-25"/>
    <n v="50000"/>
    <n v="50000"/>
    <x v="1"/>
    <n v="3"/>
    <n v="47"/>
    <x v="0"/>
    <x v="1"/>
  </r>
  <r>
    <s v="O0135"/>
    <x v="53"/>
    <x v="3"/>
    <x v="30"/>
    <s v="14-Feb-25"/>
    <s v="16-Mar-25"/>
    <s v="26-Feb-25"/>
    <n v="18000"/>
    <n v="18000"/>
    <x v="0"/>
    <n v="1"/>
    <n v="12"/>
    <x v="0"/>
    <x v="0"/>
  </r>
  <r>
    <s v="O0136"/>
    <x v="62"/>
    <x v="0"/>
    <x v="82"/>
    <s v="04-Sep-25"/>
    <s v="04-Oct-25"/>
    <s v="09-Sep-25"/>
    <n v="35000"/>
    <n v="35000"/>
    <x v="0"/>
    <n v="3"/>
    <n v="5"/>
    <x v="0"/>
    <x v="0"/>
  </r>
  <r>
    <s v="O0137"/>
    <x v="71"/>
    <x v="1"/>
    <x v="112"/>
    <s v="01-Jun-25"/>
    <s v="01-Jul-25"/>
    <s v="11-Jul-25"/>
    <n v="12000"/>
    <n v="12000"/>
    <x v="1"/>
    <n v="1"/>
    <n v="40"/>
    <x v="0"/>
    <x v="1"/>
  </r>
  <r>
    <s v="O0138"/>
    <x v="39"/>
    <x v="0"/>
    <x v="113"/>
    <s v="27-Oct-25"/>
    <s v="26-Nov-25"/>
    <s v="08-Dec-25"/>
    <n v="35000"/>
    <n v="35000"/>
    <x v="1"/>
    <n v="2"/>
    <n v="42"/>
    <x v="0"/>
    <x v="1"/>
  </r>
  <r>
    <s v="O0139"/>
    <x v="18"/>
    <x v="0"/>
    <x v="45"/>
    <s v="11-Oct-25"/>
    <s v="10-Nov-25"/>
    <m/>
    <n v="100000"/>
    <n v="0"/>
    <x v="4"/>
    <n v="2"/>
    <n v="247"/>
    <x v="17"/>
    <x v="2"/>
  </r>
  <r>
    <s v="O0140"/>
    <x v="75"/>
    <x v="0"/>
    <x v="68"/>
    <s v="08-Jun-25"/>
    <s v="08-Jul-25"/>
    <s v="19-Jun-25"/>
    <n v="40000"/>
    <n v="40000"/>
    <x v="0"/>
    <n v="2"/>
    <n v="11"/>
    <x v="0"/>
    <x v="0"/>
  </r>
  <r>
    <s v="O0141"/>
    <x v="61"/>
    <x v="0"/>
    <x v="114"/>
    <s v="06-Mar-25"/>
    <s v="05-Apr-25"/>
    <m/>
    <n v="55000"/>
    <n v="0"/>
    <x v="3"/>
    <n v="3"/>
    <n v="466"/>
    <x v="11"/>
    <x v="2"/>
  </r>
  <r>
    <s v="O0142"/>
    <x v="62"/>
    <x v="0"/>
    <x v="115"/>
    <s v="06-Apr-25"/>
    <s v="06-May-25"/>
    <m/>
    <n v="30000"/>
    <n v="0"/>
    <x v="4"/>
    <n v="1"/>
    <n v="435"/>
    <x v="4"/>
    <x v="2"/>
  </r>
  <r>
    <s v="O0143"/>
    <x v="5"/>
    <x v="3"/>
    <x v="116"/>
    <s v="01-Nov-25"/>
    <s v="01-Dec-25"/>
    <m/>
    <n v="60000"/>
    <n v="0"/>
    <x v="3"/>
    <n v="3"/>
    <n v="226"/>
    <x v="3"/>
    <x v="2"/>
  </r>
  <r>
    <s v="O0144"/>
    <x v="53"/>
    <x v="3"/>
    <x v="117"/>
    <s v="02-Jun-25"/>
    <s v="02-Jul-25"/>
    <s v="07-Jun-25"/>
    <n v="100000"/>
    <n v="100000"/>
    <x v="0"/>
    <n v="1"/>
    <n v="5"/>
    <x v="0"/>
    <x v="0"/>
  </r>
  <r>
    <s v="O0145"/>
    <x v="76"/>
    <x v="0"/>
    <x v="118"/>
    <s v="02-Oct-25"/>
    <s v="01-Nov-25"/>
    <s v="08-Oct-25"/>
    <n v="50000"/>
    <n v="50000"/>
    <x v="0"/>
    <n v="1"/>
    <n v="6"/>
    <x v="0"/>
    <x v="0"/>
  </r>
  <r>
    <s v="O0146"/>
    <x v="77"/>
    <x v="2"/>
    <x v="119"/>
    <s v="02-Jun-25"/>
    <s v="02-Jul-25"/>
    <s v="27-Jul-25"/>
    <n v="20000"/>
    <n v="20000"/>
    <x v="1"/>
    <n v="3"/>
    <n v="55"/>
    <x v="0"/>
    <x v="1"/>
  </r>
  <r>
    <s v="O0147"/>
    <x v="64"/>
    <x v="0"/>
    <x v="1"/>
    <s v="23-Feb-25"/>
    <s v="25-Mar-25"/>
    <s v="14-Mar-25"/>
    <n v="60000"/>
    <n v="60000"/>
    <x v="0"/>
    <n v="1"/>
    <n v="19"/>
    <x v="0"/>
    <x v="0"/>
  </r>
  <r>
    <s v="O0148"/>
    <x v="74"/>
    <x v="0"/>
    <x v="115"/>
    <s v="06-Apr-25"/>
    <s v="06-May-25"/>
    <m/>
    <n v="50000"/>
    <n v="0"/>
    <x v="3"/>
    <n v="1"/>
    <n v="435"/>
    <x v="1"/>
    <x v="2"/>
  </r>
  <r>
    <s v="O0149"/>
    <x v="78"/>
    <x v="0"/>
    <x v="102"/>
    <s v="01-Mar-25"/>
    <s v="31-Mar-25"/>
    <s v="24-Mar-25"/>
    <n v="12000"/>
    <n v="12000"/>
    <x v="0"/>
    <n v="1"/>
    <n v="23"/>
    <x v="0"/>
    <x v="0"/>
  </r>
  <r>
    <s v="O0150"/>
    <x v="79"/>
    <x v="0"/>
    <x v="120"/>
    <s v="19-Dec-25"/>
    <s v="18-Jan-26"/>
    <s v="11-Jan-26"/>
    <n v="20000"/>
    <n v="20000"/>
    <x v="0"/>
    <n v="1"/>
    <n v="23"/>
    <x v="0"/>
    <x v="0"/>
  </r>
  <r>
    <s v="O0151"/>
    <x v="24"/>
    <x v="1"/>
    <x v="30"/>
    <s v="14-Feb-25"/>
    <s v="16-Mar-25"/>
    <s v="30-Mar-25"/>
    <n v="15000"/>
    <n v="15000"/>
    <x v="1"/>
    <n v="1"/>
    <n v="44"/>
    <x v="0"/>
    <x v="1"/>
  </r>
  <r>
    <s v="O0152"/>
    <x v="56"/>
    <x v="0"/>
    <x v="22"/>
    <s v="05-Nov-25"/>
    <s v="05-Dec-25"/>
    <m/>
    <n v="40000"/>
    <n v="0"/>
    <x v="4"/>
    <n v="3"/>
    <n v="222"/>
    <x v="16"/>
    <x v="2"/>
  </r>
  <r>
    <s v="O0153"/>
    <x v="8"/>
    <x v="0"/>
    <x v="121"/>
    <s v="21-Aug-25"/>
    <s v="20-Sep-25"/>
    <m/>
    <n v="60000"/>
    <n v="0"/>
    <x v="2"/>
    <n v="2"/>
    <n v="298"/>
    <x v="3"/>
    <x v="2"/>
  </r>
  <r>
    <s v="O0154"/>
    <x v="18"/>
    <x v="0"/>
    <x v="68"/>
    <s v="09-Jun-25"/>
    <s v="09-Jul-25"/>
    <s v="02-Aug-25"/>
    <n v="8000"/>
    <n v="8000"/>
    <x v="1"/>
    <n v="3"/>
    <n v="54"/>
    <x v="0"/>
    <x v="1"/>
  </r>
  <r>
    <s v="O0155"/>
    <x v="6"/>
    <x v="3"/>
    <x v="122"/>
    <s v="20-Apr-25"/>
    <s v="20-May-25"/>
    <s v="27-Apr-25"/>
    <n v="30000"/>
    <n v="30000"/>
    <x v="0"/>
    <n v="3"/>
    <n v="7"/>
    <x v="0"/>
    <x v="0"/>
  </r>
  <r>
    <s v="O0156"/>
    <x v="12"/>
    <x v="0"/>
    <x v="123"/>
    <s v="04-May-25"/>
    <s v="03-Jun-25"/>
    <s v="09-May-25"/>
    <n v="55000"/>
    <n v="55000"/>
    <x v="0"/>
    <n v="1"/>
    <n v="5"/>
    <x v="0"/>
    <x v="0"/>
  </r>
  <r>
    <s v="O0157"/>
    <x v="32"/>
    <x v="0"/>
    <x v="121"/>
    <s v="22-Aug-25"/>
    <s v="21-Sep-25"/>
    <s v="03-Sep-25"/>
    <n v="35000"/>
    <n v="35000"/>
    <x v="0"/>
    <n v="3"/>
    <n v="12"/>
    <x v="0"/>
    <x v="0"/>
  </r>
  <r>
    <s v="O0158"/>
    <x v="43"/>
    <x v="1"/>
    <x v="124"/>
    <s v="30-Dec-25"/>
    <s v="29-Jan-26"/>
    <s v="11-Jan-26"/>
    <n v="22000"/>
    <n v="22000"/>
    <x v="0"/>
    <n v="2"/>
    <n v="12"/>
    <x v="0"/>
    <x v="0"/>
  </r>
  <r>
    <s v="O0159"/>
    <x v="36"/>
    <x v="1"/>
    <x v="125"/>
    <s v="20-Nov-25"/>
    <s v="20-Dec-25"/>
    <s v="12-Dec-25"/>
    <n v="30000"/>
    <n v="30000"/>
    <x v="0"/>
    <n v="3"/>
    <n v="22"/>
    <x v="0"/>
    <x v="0"/>
  </r>
  <r>
    <s v="O0160"/>
    <x v="29"/>
    <x v="1"/>
    <x v="13"/>
    <s v="29-Nov-25"/>
    <s v="29-Dec-25"/>
    <m/>
    <n v="50000"/>
    <n v="0"/>
    <x v="2"/>
    <n v="1"/>
    <n v="198"/>
    <x v="1"/>
    <x v="2"/>
  </r>
  <r>
    <s v="O0161"/>
    <x v="31"/>
    <x v="0"/>
    <x v="126"/>
    <s v="01-Feb-25"/>
    <s v="03-Mar-25"/>
    <s v="30-Mar-25"/>
    <n v="60000"/>
    <n v="60000"/>
    <x v="1"/>
    <n v="1"/>
    <n v="57"/>
    <x v="0"/>
    <x v="1"/>
  </r>
  <r>
    <s v="O0162"/>
    <x v="72"/>
    <x v="0"/>
    <x v="127"/>
    <s v="30-May-25"/>
    <s v="29-Jun-25"/>
    <s v="13-Jun-25"/>
    <n v="15000"/>
    <n v="15000"/>
    <x v="0"/>
    <n v="2"/>
    <n v="14"/>
    <x v="0"/>
    <x v="0"/>
  </r>
  <r>
    <s v="O0163"/>
    <x v="80"/>
    <x v="0"/>
    <x v="128"/>
    <s v="28-Jul-25"/>
    <s v="27-Aug-25"/>
    <s v="16-Aug-25"/>
    <n v="45000"/>
    <n v="45000"/>
    <x v="0"/>
    <n v="2"/>
    <n v="19"/>
    <x v="0"/>
    <x v="0"/>
  </r>
  <r>
    <s v="O0164"/>
    <x v="27"/>
    <x v="2"/>
    <x v="129"/>
    <s v="04-Nov-25"/>
    <s v="04-Dec-25"/>
    <m/>
    <n v="18000"/>
    <n v="0"/>
    <x v="4"/>
    <n v="1"/>
    <n v="223"/>
    <x v="8"/>
    <x v="2"/>
  </r>
  <r>
    <s v="O0165"/>
    <x v="56"/>
    <x v="0"/>
    <x v="130"/>
    <s v="10-May-25"/>
    <s v="09-Jun-25"/>
    <s v="05-Jun-25"/>
    <n v="10000"/>
    <n v="10000"/>
    <x v="0"/>
    <n v="1"/>
    <n v="26"/>
    <x v="0"/>
    <x v="0"/>
  </r>
  <r>
    <s v="O0166"/>
    <x v="57"/>
    <x v="0"/>
    <x v="131"/>
    <s v="29-Oct-25"/>
    <s v="28-Nov-25"/>
    <s v="23-Dec-25"/>
    <n v="50000"/>
    <n v="50000"/>
    <x v="1"/>
    <n v="1"/>
    <n v="55"/>
    <x v="0"/>
    <x v="1"/>
  </r>
  <r>
    <s v="O0167"/>
    <x v="22"/>
    <x v="2"/>
    <x v="77"/>
    <s v="02-Apr-25"/>
    <s v="02-May-25"/>
    <s v="01-Jun-25"/>
    <n v="45000"/>
    <n v="45000"/>
    <x v="1"/>
    <n v="2"/>
    <n v="60"/>
    <x v="0"/>
    <x v="1"/>
  </r>
  <r>
    <s v="O0168"/>
    <x v="5"/>
    <x v="3"/>
    <x v="132"/>
    <s v="06-Apr-25"/>
    <s v="06-May-25"/>
    <s v="22-May-25"/>
    <n v="18000"/>
    <n v="18000"/>
    <x v="1"/>
    <n v="3"/>
    <n v="46"/>
    <x v="0"/>
    <x v="1"/>
  </r>
  <r>
    <s v="O0169"/>
    <x v="71"/>
    <x v="1"/>
    <x v="133"/>
    <s v="31-Aug-25"/>
    <s v="30-Sep-25"/>
    <s v="26-Sep-25"/>
    <n v="18000"/>
    <n v="18000"/>
    <x v="0"/>
    <n v="2"/>
    <n v="26"/>
    <x v="0"/>
    <x v="0"/>
  </r>
  <r>
    <s v="O0170"/>
    <x v="33"/>
    <x v="3"/>
    <x v="134"/>
    <s v="26-Mar-25"/>
    <s v="25-Apr-25"/>
    <s v="05-May-25"/>
    <n v="18000"/>
    <n v="18000"/>
    <x v="1"/>
    <n v="2"/>
    <n v="40"/>
    <x v="0"/>
    <x v="1"/>
  </r>
  <r>
    <s v="O0171"/>
    <x v="39"/>
    <x v="0"/>
    <x v="47"/>
    <s v="28-Jul-25"/>
    <s v="27-Aug-25"/>
    <s v="12-Aug-25"/>
    <n v="8000"/>
    <n v="8000"/>
    <x v="0"/>
    <n v="3"/>
    <n v="15"/>
    <x v="0"/>
    <x v="0"/>
  </r>
  <r>
    <s v="O0172"/>
    <x v="81"/>
    <x v="2"/>
    <x v="135"/>
    <s v="16-Jun-25"/>
    <s v="16-Jul-25"/>
    <m/>
    <n v="12000"/>
    <n v="0"/>
    <x v="2"/>
    <n v="1"/>
    <n v="364"/>
    <x v="18"/>
    <x v="2"/>
  </r>
  <r>
    <s v="O0173"/>
    <x v="82"/>
    <x v="1"/>
    <x v="136"/>
    <s v="06-Dec-25"/>
    <s v="05-Jan-26"/>
    <s v="17-Dec-25"/>
    <n v="22000"/>
    <n v="22000"/>
    <x v="0"/>
    <n v="3"/>
    <n v="11"/>
    <x v="0"/>
    <x v="0"/>
  </r>
  <r>
    <s v="O0174"/>
    <x v="69"/>
    <x v="2"/>
    <x v="9"/>
    <s v="08-Jul-25"/>
    <s v="07-Aug-25"/>
    <s v="01-Sep-25"/>
    <n v="35000"/>
    <n v="35000"/>
    <x v="1"/>
    <n v="3"/>
    <n v="55"/>
    <x v="0"/>
    <x v="1"/>
  </r>
  <r>
    <s v="O0175"/>
    <x v="47"/>
    <x v="2"/>
    <x v="137"/>
    <s v="17-Apr-25"/>
    <s v="17-May-25"/>
    <s v="01-May-25"/>
    <n v="55000"/>
    <n v="55000"/>
    <x v="0"/>
    <n v="2"/>
    <n v="14"/>
    <x v="0"/>
    <x v="0"/>
  </r>
  <r>
    <s v="O0176"/>
    <x v="34"/>
    <x v="0"/>
    <x v="138"/>
    <s v="26-Dec-25"/>
    <s v="25-Jan-26"/>
    <s v="20-Jan-26"/>
    <n v="15000"/>
    <n v="15000"/>
    <x v="0"/>
    <n v="2"/>
    <n v="25"/>
    <x v="0"/>
    <x v="0"/>
  </r>
  <r>
    <s v="O0177"/>
    <x v="56"/>
    <x v="0"/>
    <x v="123"/>
    <s v="06-May-25"/>
    <s v="05-Jun-25"/>
    <s v="11-May-25"/>
    <n v="25000"/>
    <n v="25000"/>
    <x v="0"/>
    <n v="3"/>
    <n v="5"/>
    <x v="0"/>
    <x v="0"/>
  </r>
  <r>
    <s v="O0178"/>
    <x v="77"/>
    <x v="2"/>
    <x v="139"/>
    <s v="29-Jul-25"/>
    <s v="28-Aug-25"/>
    <m/>
    <n v="40000"/>
    <n v="0"/>
    <x v="3"/>
    <n v="1"/>
    <n v="321"/>
    <x v="16"/>
    <x v="2"/>
  </r>
  <r>
    <s v="O0179"/>
    <x v="83"/>
    <x v="1"/>
    <x v="14"/>
    <s v="26-Aug-25"/>
    <s v="25-Sep-25"/>
    <s v="22-Sep-25"/>
    <n v="20000"/>
    <n v="20000"/>
    <x v="0"/>
    <n v="1"/>
    <n v="27"/>
    <x v="0"/>
    <x v="0"/>
  </r>
  <r>
    <s v="O0180"/>
    <x v="54"/>
    <x v="0"/>
    <x v="140"/>
    <s v="21-Sep-25"/>
    <s v="21-Oct-25"/>
    <s v="11-Oct-25"/>
    <n v="50000"/>
    <n v="50000"/>
    <x v="0"/>
    <n v="3"/>
    <n v="20"/>
    <x v="0"/>
    <x v="0"/>
  </r>
  <r>
    <s v="O0181"/>
    <x v="67"/>
    <x v="0"/>
    <x v="141"/>
    <s v="07-May-25"/>
    <s v="06-Jun-25"/>
    <s v="18-May-25"/>
    <n v="55000"/>
    <n v="55000"/>
    <x v="0"/>
    <n v="2"/>
    <n v="11"/>
    <x v="0"/>
    <x v="0"/>
  </r>
  <r>
    <s v="O0182"/>
    <x v="84"/>
    <x v="0"/>
    <x v="140"/>
    <s v="21-Sep-25"/>
    <s v="21-Oct-25"/>
    <m/>
    <n v="20000"/>
    <n v="0"/>
    <x v="2"/>
    <n v="3"/>
    <n v="267"/>
    <x v="14"/>
    <x v="2"/>
  </r>
  <r>
    <s v="O0183"/>
    <x v="5"/>
    <x v="3"/>
    <x v="142"/>
    <s v="03-Aug-25"/>
    <s v="02-Sep-25"/>
    <s v="08-Aug-25"/>
    <n v="45000"/>
    <n v="45000"/>
    <x v="0"/>
    <n v="2"/>
    <n v="5"/>
    <x v="0"/>
    <x v="0"/>
  </r>
  <r>
    <s v="O0184"/>
    <x v="43"/>
    <x v="1"/>
    <x v="143"/>
    <s v="05-Jun-25"/>
    <s v="05-Jul-25"/>
    <m/>
    <n v="35000"/>
    <n v="0"/>
    <x v="2"/>
    <n v="3"/>
    <n v="375"/>
    <x v="7"/>
    <x v="2"/>
  </r>
  <r>
    <s v="O0185"/>
    <x v="60"/>
    <x v="0"/>
    <x v="144"/>
    <s v="05-Oct-25"/>
    <s v="04-Nov-25"/>
    <s v="27-Oct-25"/>
    <n v="100000"/>
    <n v="100000"/>
    <x v="0"/>
    <n v="2"/>
    <n v="22"/>
    <x v="0"/>
    <x v="0"/>
  </r>
  <r>
    <s v="O0186"/>
    <x v="8"/>
    <x v="0"/>
    <x v="145"/>
    <s v="24-Aug-25"/>
    <s v="23-Sep-25"/>
    <m/>
    <n v="30000"/>
    <n v="0"/>
    <x v="3"/>
    <n v="2"/>
    <n v="295"/>
    <x v="4"/>
    <x v="2"/>
  </r>
  <r>
    <s v="O0187"/>
    <x v="85"/>
    <x v="3"/>
    <x v="146"/>
    <s v="22-Oct-25"/>
    <s v="21-Nov-25"/>
    <m/>
    <n v="40000"/>
    <n v="0"/>
    <x v="2"/>
    <n v="2"/>
    <n v="236"/>
    <x v="16"/>
    <x v="2"/>
  </r>
  <r>
    <s v="O0188"/>
    <x v="32"/>
    <x v="0"/>
    <x v="147"/>
    <s v="25-Jan-25"/>
    <s v="24-Feb-25"/>
    <m/>
    <n v="35000"/>
    <n v="0"/>
    <x v="4"/>
    <n v="2"/>
    <n v="506"/>
    <x v="7"/>
    <x v="2"/>
  </r>
  <r>
    <s v="O0189"/>
    <x v="8"/>
    <x v="0"/>
    <x v="148"/>
    <s v="20-Jul-25"/>
    <s v="19-Aug-25"/>
    <s v="26-Jul-25"/>
    <n v="20000"/>
    <n v="20000"/>
    <x v="0"/>
    <n v="3"/>
    <n v="6"/>
    <x v="0"/>
    <x v="0"/>
  </r>
  <r>
    <s v="O0190"/>
    <x v="41"/>
    <x v="0"/>
    <x v="149"/>
    <s v="18-Sep-25"/>
    <s v="18-Oct-25"/>
    <m/>
    <n v="75000"/>
    <n v="0"/>
    <x v="2"/>
    <n v="3"/>
    <n v="270"/>
    <x v="10"/>
    <x v="2"/>
  </r>
  <r>
    <s v="O0191"/>
    <x v="34"/>
    <x v="0"/>
    <x v="11"/>
    <s v="24-Feb-25"/>
    <s v="26-Mar-25"/>
    <s v="05-Mar-25"/>
    <n v="22000"/>
    <n v="22000"/>
    <x v="0"/>
    <n v="3"/>
    <n v="9"/>
    <x v="0"/>
    <x v="0"/>
  </r>
  <r>
    <s v="O0192"/>
    <x v="32"/>
    <x v="0"/>
    <x v="79"/>
    <s v="03-Dec-25"/>
    <s v="02-Jan-26"/>
    <s v="16-Dec-25"/>
    <n v="10000"/>
    <n v="10000"/>
    <x v="0"/>
    <n v="1"/>
    <n v="13"/>
    <x v="0"/>
    <x v="0"/>
  </r>
  <r>
    <s v="O0193"/>
    <x v="74"/>
    <x v="0"/>
    <x v="75"/>
    <s v="19-Nov-25"/>
    <s v="19-Dec-25"/>
    <s v="16-Jan-26"/>
    <n v="12000"/>
    <n v="12000"/>
    <x v="1"/>
    <n v="3"/>
    <n v="58"/>
    <x v="0"/>
    <x v="1"/>
  </r>
  <r>
    <s v="O0194"/>
    <x v="50"/>
    <x v="0"/>
    <x v="150"/>
    <s v="15-Dec-25"/>
    <s v="14-Jan-26"/>
    <m/>
    <n v="12000"/>
    <n v="0"/>
    <x v="3"/>
    <n v="3"/>
    <n v="182"/>
    <x v="18"/>
    <x v="2"/>
  </r>
  <r>
    <s v="O0195"/>
    <x v="79"/>
    <x v="0"/>
    <x v="151"/>
    <s v="10-Sep-25"/>
    <s v="10-Oct-25"/>
    <s v="18-Oct-25"/>
    <n v="8000"/>
    <n v="8000"/>
    <x v="1"/>
    <n v="3"/>
    <n v="38"/>
    <x v="0"/>
    <x v="1"/>
  </r>
  <r>
    <s v="O0196"/>
    <x v="79"/>
    <x v="0"/>
    <x v="152"/>
    <s v="19-Dec-25"/>
    <s v="18-Jan-26"/>
    <m/>
    <n v="40000"/>
    <n v="0"/>
    <x v="4"/>
    <n v="2"/>
    <n v="178"/>
    <x v="16"/>
    <x v="2"/>
  </r>
  <r>
    <s v="O0197"/>
    <x v="52"/>
    <x v="0"/>
    <x v="153"/>
    <s v="23-Feb-25"/>
    <s v="25-Mar-25"/>
    <s v="22-Mar-25"/>
    <n v="15000"/>
    <n v="15000"/>
    <x v="0"/>
    <n v="3"/>
    <n v="27"/>
    <x v="0"/>
    <x v="0"/>
  </r>
  <r>
    <s v="O0198"/>
    <x v="24"/>
    <x v="1"/>
    <x v="71"/>
    <s v="16-Jan-25"/>
    <s v="15-Feb-25"/>
    <m/>
    <n v="75000"/>
    <n v="0"/>
    <x v="4"/>
    <n v="1"/>
    <n v="515"/>
    <x v="10"/>
    <x v="2"/>
  </r>
  <r>
    <s v="O0199"/>
    <x v="54"/>
    <x v="0"/>
    <x v="6"/>
    <s v="05-Jul-25"/>
    <s v="04-Aug-25"/>
    <s v="26-Jul-25"/>
    <n v="18000"/>
    <n v="18000"/>
    <x v="0"/>
    <n v="2"/>
    <n v="21"/>
    <x v="0"/>
    <x v="0"/>
  </r>
  <r>
    <s v="O0200"/>
    <x v="32"/>
    <x v="0"/>
    <x v="154"/>
    <s v="20-Oct-25"/>
    <s v="19-Nov-25"/>
    <s v="27-Oct-25"/>
    <n v="25000"/>
    <n v="25000"/>
    <x v="0"/>
    <n v="3"/>
    <n v="7"/>
    <x v="0"/>
    <x v="0"/>
  </r>
  <r>
    <s v="O0201"/>
    <x v="44"/>
    <x v="0"/>
    <x v="67"/>
    <s v="18-Jul-25"/>
    <s v="17-Aug-25"/>
    <s v="10-Aug-25"/>
    <n v="40000"/>
    <n v="40000"/>
    <x v="0"/>
    <n v="3"/>
    <n v="23"/>
    <x v="0"/>
    <x v="0"/>
  </r>
  <r>
    <s v="O0202"/>
    <x v="58"/>
    <x v="2"/>
    <x v="155"/>
    <s v="01-May-25"/>
    <s v="31-May-25"/>
    <s v="27-May-25"/>
    <n v="50000"/>
    <n v="50000"/>
    <x v="0"/>
    <n v="2"/>
    <n v="26"/>
    <x v="0"/>
    <x v="0"/>
  </r>
  <r>
    <s v="O0203"/>
    <x v="21"/>
    <x v="0"/>
    <x v="156"/>
    <s v="29-Aug-25"/>
    <s v="28-Sep-25"/>
    <s v="17-Sep-25"/>
    <n v="55000"/>
    <n v="55000"/>
    <x v="0"/>
    <n v="2"/>
    <n v="19"/>
    <x v="0"/>
    <x v="0"/>
  </r>
  <r>
    <s v="O0204"/>
    <x v="51"/>
    <x v="0"/>
    <x v="131"/>
    <s v="30-Oct-25"/>
    <s v="29-Nov-25"/>
    <s v="14-Dec-25"/>
    <n v="18000"/>
    <n v="18000"/>
    <x v="1"/>
    <n v="2"/>
    <n v="45"/>
    <x v="0"/>
    <x v="1"/>
  </r>
  <r>
    <s v="O0205"/>
    <x v="24"/>
    <x v="1"/>
    <x v="105"/>
    <s v="14-Apr-25"/>
    <s v="14-May-25"/>
    <s v="01-May-25"/>
    <n v="35000"/>
    <n v="35000"/>
    <x v="0"/>
    <n v="2"/>
    <n v="17"/>
    <x v="0"/>
    <x v="0"/>
  </r>
  <r>
    <s v="O0206"/>
    <x v="57"/>
    <x v="0"/>
    <x v="6"/>
    <s v="06-Jul-25"/>
    <s v="05-Aug-25"/>
    <m/>
    <n v="60000"/>
    <n v="0"/>
    <x v="3"/>
    <n v="3"/>
    <n v="344"/>
    <x v="3"/>
    <x v="2"/>
  </r>
  <r>
    <s v="O0207"/>
    <x v="54"/>
    <x v="0"/>
    <x v="157"/>
    <s v="15-Jan-25"/>
    <s v="14-Feb-25"/>
    <s v="07-Feb-25"/>
    <n v="12000"/>
    <n v="12000"/>
    <x v="0"/>
    <n v="3"/>
    <n v="23"/>
    <x v="0"/>
    <x v="0"/>
  </r>
  <r>
    <s v="O0208"/>
    <x v="13"/>
    <x v="0"/>
    <x v="50"/>
    <s v="29-Jan-25"/>
    <s v="28-Feb-25"/>
    <m/>
    <n v="35000"/>
    <n v="0"/>
    <x v="2"/>
    <n v="3"/>
    <n v="502"/>
    <x v="7"/>
    <x v="2"/>
  </r>
  <r>
    <s v="O0209"/>
    <x v="43"/>
    <x v="1"/>
    <x v="37"/>
    <s v="01-May-25"/>
    <s v="31-May-25"/>
    <s v="12-May-25"/>
    <n v="100000"/>
    <n v="100000"/>
    <x v="0"/>
    <n v="3"/>
    <n v="11"/>
    <x v="0"/>
    <x v="0"/>
  </r>
  <r>
    <s v="O0210"/>
    <x v="9"/>
    <x v="2"/>
    <x v="130"/>
    <s v="12-May-25"/>
    <s v="11-Jun-25"/>
    <s v="10-Jul-25"/>
    <n v="20000"/>
    <n v="20000"/>
    <x v="1"/>
    <n v="3"/>
    <n v="59"/>
    <x v="0"/>
    <x v="1"/>
  </r>
  <r>
    <s v="O0211"/>
    <x v="79"/>
    <x v="0"/>
    <x v="158"/>
    <s v="28-Nov-25"/>
    <s v="28-Dec-25"/>
    <m/>
    <n v="60000"/>
    <n v="0"/>
    <x v="4"/>
    <n v="1"/>
    <n v="199"/>
    <x v="3"/>
    <x v="2"/>
  </r>
  <r>
    <s v="O0212"/>
    <x v="2"/>
    <x v="1"/>
    <x v="52"/>
    <s v="26-Oct-25"/>
    <s v="25-Nov-25"/>
    <s v="09-Nov-25"/>
    <n v="20000"/>
    <n v="20000"/>
    <x v="0"/>
    <n v="2"/>
    <n v="14"/>
    <x v="0"/>
    <x v="0"/>
  </r>
  <r>
    <s v="O0213"/>
    <x v="73"/>
    <x v="2"/>
    <x v="142"/>
    <s v="02-Aug-25"/>
    <s v="01-Sep-25"/>
    <s v="24-Aug-25"/>
    <n v="30000"/>
    <n v="30000"/>
    <x v="0"/>
    <n v="1"/>
    <n v="22"/>
    <x v="0"/>
    <x v="0"/>
  </r>
  <r>
    <s v="O0214"/>
    <x v="26"/>
    <x v="0"/>
    <x v="28"/>
    <s v="02-Oct-25"/>
    <s v="01-Nov-25"/>
    <m/>
    <n v="50000"/>
    <n v="0"/>
    <x v="2"/>
    <n v="3"/>
    <n v="256"/>
    <x v="1"/>
    <x v="2"/>
  </r>
  <r>
    <s v="O0215"/>
    <x v="81"/>
    <x v="2"/>
    <x v="159"/>
    <s v="06-Sep-25"/>
    <s v="06-Oct-25"/>
    <m/>
    <n v="75000"/>
    <n v="0"/>
    <x v="2"/>
    <n v="2"/>
    <n v="282"/>
    <x v="10"/>
    <x v="2"/>
  </r>
  <r>
    <s v="O0216"/>
    <x v="70"/>
    <x v="3"/>
    <x v="160"/>
    <s v="09-Feb-25"/>
    <s v="11-Mar-25"/>
    <m/>
    <n v="40000"/>
    <n v="0"/>
    <x v="2"/>
    <n v="1"/>
    <n v="491"/>
    <x v="16"/>
    <x v="2"/>
  </r>
  <r>
    <s v="O0217"/>
    <x v="86"/>
    <x v="0"/>
    <x v="150"/>
    <s v="14-Dec-25"/>
    <s v="13-Jan-26"/>
    <s v="31-Dec-25"/>
    <n v="55000"/>
    <n v="55000"/>
    <x v="0"/>
    <n v="2"/>
    <n v="17"/>
    <x v="0"/>
    <x v="0"/>
  </r>
  <r>
    <s v="O0218"/>
    <x v="21"/>
    <x v="0"/>
    <x v="32"/>
    <s v="19-May-25"/>
    <s v="18-Jun-25"/>
    <s v="14-Jun-25"/>
    <n v="15000"/>
    <n v="15000"/>
    <x v="0"/>
    <n v="3"/>
    <n v="26"/>
    <x v="0"/>
    <x v="0"/>
  </r>
  <r>
    <s v="O0219"/>
    <x v="45"/>
    <x v="0"/>
    <x v="161"/>
    <s v="13-Dec-25"/>
    <s v="12-Jan-26"/>
    <m/>
    <n v="12000"/>
    <n v="0"/>
    <x v="2"/>
    <n v="2"/>
    <n v="184"/>
    <x v="18"/>
    <x v="2"/>
  </r>
  <r>
    <s v="O0220"/>
    <x v="87"/>
    <x v="0"/>
    <x v="72"/>
    <s v="28-Feb-25"/>
    <s v="30-Mar-25"/>
    <s v="24-Mar-25"/>
    <n v="40000"/>
    <n v="40000"/>
    <x v="0"/>
    <n v="3"/>
    <n v="24"/>
    <x v="0"/>
    <x v="0"/>
  </r>
  <r>
    <s v="O0221"/>
    <x v="88"/>
    <x v="0"/>
    <x v="162"/>
    <s v="20-Jun-25"/>
    <s v="20-Jul-25"/>
    <s v="10-Aug-25"/>
    <n v="40000"/>
    <n v="40000"/>
    <x v="1"/>
    <n v="3"/>
    <n v="51"/>
    <x v="0"/>
    <x v="1"/>
  </r>
  <r>
    <s v="O0222"/>
    <x v="70"/>
    <x v="3"/>
    <x v="163"/>
    <s v="27-Dec-25"/>
    <s v="26-Jan-26"/>
    <s v="02-Jan-26"/>
    <n v="18000"/>
    <n v="18000"/>
    <x v="0"/>
    <n v="2"/>
    <n v="6"/>
    <x v="0"/>
    <x v="0"/>
  </r>
  <r>
    <s v="O0223"/>
    <x v="2"/>
    <x v="1"/>
    <x v="164"/>
    <s v="07-Jun-25"/>
    <s v="07-Jul-25"/>
    <s v="29-Jun-25"/>
    <n v="15000"/>
    <n v="15000"/>
    <x v="0"/>
    <n v="2"/>
    <n v="22"/>
    <x v="0"/>
    <x v="0"/>
  </r>
  <r>
    <s v="O0224"/>
    <x v="66"/>
    <x v="3"/>
    <x v="165"/>
    <s v="20-Jul-25"/>
    <s v="19-Aug-25"/>
    <s v="12-Sep-25"/>
    <n v="100000"/>
    <n v="100000"/>
    <x v="1"/>
    <n v="2"/>
    <n v="54"/>
    <x v="0"/>
    <x v="1"/>
  </r>
  <r>
    <s v="O0225"/>
    <x v="80"/>
    <x v="0"/>
    <x v="90"/>
    <s v="06-Oct-25"/>
    <s v="05-Nov-25"/>
    <s v="17-Oct-25"/>
    <n v="20000"/>
    <n v="10000"/>
    <x v="5"/>
    <n v="2"/>
    <n v="11"/>
    <x v="9"/>
    <x v="0"/>
  </r>
  <r>
    <s v="O0226"/>
    <x v="44"/>
    <x v="0"/>
    <x v="139"/>
    <s v="30-Jul-25"/>
    <s v="29-Aug-25"/>
    <s v="05-Sep-25"/>
    <n v="8000"/>
    <n v="8000"/>
    <x v="1"/>
    <n v="2"/>
    <n v="37"/>
    <x v="0"/>
    <x v="1"/>
  </r>
  <r>
    <s v="O0227"/>
    <x v="34"/>
    <x v="0"/>
    <x v="166"/>
    <s v="17-Aug-25"/>
    <s v="16-Sep-25"/>
    <s v="12-Sep-25"/>
    <n v="100000"/>
    <n v="100000"/>
    <x v="0"/>
    <n v="1"/>
    <n v="26"/>
    <x v="0"/>
    <x v="0"/>
  </r>
  <r>
    <s v="O0228"/>
    <x v="87"/>
    <x v="0"/>
    <x v="167"/>
    <s v="09-Oct-25"/>
    <s v="08-Nov-25"/>
    <s v="22-Oct-25"/>
    <n v="100000"/>
    <n v="100000"/>
    <x v="0"/>
    <n v="3"/>
    <n v="13"/>
    <x v="0"/>
    <x v="0"/>
  </r>
  <r>
    <s v="O0229"/>
    <x v="53"/>
    <x v="3"/>
    <x v="85"/>
    <s v="06-Mar-25"/>
    <s v="05-Apr-25"/>
    <s v="26-Apr-25"/>
    <n v="10000"/>
    <n v="10000"/>
    <x v="1"/>
    <n v="2"/>
    <n v="51"/>
    <x v="0"/>
    <x v="1"/>
  </r>
  <r>
    <s v="O0230"/>
    <x v="0"/>
    <x v="0"/>
    <x v="22"/>
    <s v="03-Nov-25"/>
    <s v="03-Dec-25"/>
    <m/>
    <n v="8000"/>
    <n v="0"/>
    <x v="4"/>
    <n v="1"/>
    <n v="224"/>
    <x v="5"/>
    <x v="2"/>
  </r>
  <r>
    <s v="O0231"/>
    <x v="17"/>
    <x v="3"/>
    <x v="168"/>
    <s v="09-Mar-25"/>
    <s v="08-Apr-25"/>
    <s v="31-Mar-25"/>
    <n v="30000"/>
    <n v="30000"/>
    <x v="0"/>
    <n v="3"/>
    <n v="22"/>
    <x v="0"/>
    <x v="0"/>
  </r>
  <r>
    <s v="O0232"/>
    <x v="40"/>
    <x v="2"/>
    <x v="131"/>
    <s v="29-Oct-25"/>
    <s v="28-Nov-25"/>
    <s v="07-Nov-25"/>
    <n v="40000"/>
    <n v="40000"/>
    <x v="0"/>
    <n v="1"/>
    <n v="9"/>
    <x v="0"/>
    <x v="0"/>
  </r>
  <r>
    <s v="O0233"/>
    <x v="37"/>
    <x v="2"/>
    <x v="22"/>
    <s v="03-Nov-25"/>
    <s v="03-Dec-25"/>
    <m/>
    <n v="50000"/>
    <n v="0"/>
    <x v="2"/>
    <n v="1"/>
    <n v="224"/>
    <x v="1"/>
    <x v="2"/>
  </r>
  <r>
    <s v="O0234"/>
    <x v="58"/>
    <x v="2"/>
    <x v="169"/>
    <s v="11-Mar-25"/>
    <s v="10-Apr-25"/>
    <m/>
    <n v="50000"/>
    <n v="0"/>
    <x v="4"/>
    <n v="3"/>
    <n v="461"/>
    <x v="1"/>
    <x v="2"/>
  </r>
  <r>
    <s v="O0235"/>
    <x v="83"/>
    <x v="1"/>
    <x v="10"/>
    <s v="06-Dec-25"/>
    <s v="05-Jan-26"/>
    <s v="18-Dec-25"/>
    <n v="20000"/>
    <n v="20000"/>
    <x v="0"/>
    <n v="1"/>
    <n v="12"/>
    <x v="0"/>
    <x v="0"/>
  </r>
  <r>
    <s v="O0236"/>
    <x v="4"/>
    <x v="3"/>
    <x v="135"/>
    <s v="16-Jun-25"/>
    <s v="16-Jul-25"/>
    <s v="25-Jun-25"/>
    <n v="25000"/>
    <n v="25000"/>
    <x v="0"/>
    <n v="1"/>
    <n v="9"/>
    <x v="0"/>
    <x v="0"/>
  </r>
  <r>
    <s v="O0237"/>
    <x v="1"/>
    <x v="0"/>
    <x v="170"/>
    <s v="07-Aug-25"/>
    <s v="06-Sep-25"/>
    <m/>
    <n v="15000"/>
    <n v="0"/>
    <x v="4"/>
    <n v="3"/>
    <n v="312"/>
    <x v="2"/>
    <x v="2"/>
  </r>
  <r>
    <s v="O0238"/>
    <x v="67"/>
    <x v="0"/>
    <x v="171"/>
    <s v="20-Aug-25"/>
    <s v="19-Sep-25"/>
    <s v="04-Oct-25"/>
    <n v="45000"/>
    <n v="45000"/>
    <x v="1"/>
    <n v="2"/>
    <n v="45"/>
    <x v="0"/>
    <x v="1"/>
  </r>
  <r>
    <s v="O0239"/>
    <x v="42"/>
    <x v="0"/>
    <x v="172"/>
    <s v="27-Apr-25"/>
    <s v="27-May-25"/>
    <m/>
    <n v="8000"/>
    <n v="0"/>
    <x v="4"/>
    <n v="3"/>
    <n v="414"/>
    <x v="5"/>
    <x v="2"/>
  </r>
  <r>
    <s v="O0240"/>
    <x v="39"/>
    <x v="0"/>
    <x v="173"/>
    <s v="26-Sep-25"/>
    <s v="26-Oct-25"/>
    <s v="27-Oct-25"/>
    <n v="22000"/>
    <n v="22000"/>
    <x v="1"/>
    <n v="2"/>
    <n v="31"/>
    <x v="0"/>
    <x v="1"/>
  </r>
  <r>
    <s v="O0241"/>
    <x v="30"/>
    <x v="0"/>
    <x v="174"/>
    <s v="05-Sep-25"/>
    <s v="05-Oct-25"/>
    <s v="21-Oct-25"/>
    <n v="18000"/>
    <n v="18000"/>
    <x v="1"/>
    <n v="2"/>
    <n v="46"/>
    <x v="0"/>
    <x v="1"/>
  </r>
  <r>
    <s v="O0242"/>
    <x v="46"/>
    <x v="0"/>
    <x v="166"/>
    <s v="17-Aug-25"/>
    <s v="16-Sep-25"/>
    <s v="26-Aug-25"/>
    <n v="10000"/>
    <n v="10000"/>
    <x v="0"/>
    <n v="1"/>
    <n v="9"/>
    <x v="0"/>
    <x v="0"/>
  </r>
  <r>
    <s v="O0243"/>
    <x v="38"/>
    <x v="2"/>
    <x v="168"/>
    <s v="08-Mar-25"/>
    <s v="07-Apr-25"/>
    <m/>
    <n v="55000"/>
    <n v="0"/>
    <x v="4"/>
    <n v="2"/>
    <n v="464"/>
    <x v="11"/>
    <x v="2"/>
  </r>
  <r>
    <s v="O0244"/>
    <x v="8"/>
    <x v="0"/>
    <x v="22"/>
    <s v="05-Nov-25"/>
    <s v="05-Dec-25"/>
    <s v="29-Nov-25"/>
    <n v="60000"/>
    <n v="60000"/>
    <x v="0"/>
    <n v="3"/>
    <n v="24"/>
    <x v="0"/>
    <x v="0"/>
  </r>
  <r>
    <s v="O0245"/>
    <x v="52"/>
    <x v="0"/>
    <x v="153"/>
    <s v="23-Feb-25"/>
    <s v="25-Mar-25"/>
    <m/>
    <n v="15000"/>
    <n v="0"/>
    <x v="2"/>
    <n v="3"/>
    <n v="477"/>
    <x v="2"/>
    <x v="2"/>
  </r>
  <r>
    <s v="O0246"/>
    <x v="16"/>
    <x v="0"/>
    <x v="63"/>
    <s v="13-Oct-25"/>
    <s v="12-Nov-25"/>
    <s v="25-Oct-25"/>
    <n v="30000"/>
    <n v="30000"/>
    <x v="0"/>
    <n v="3"/>
    <n v="12"/>
    <x v="0"/>
    <x v="0"/>
  </r>
  <r>
    <s v="O0247"/>
    <x v="32"/>
    <x v="0"/>
    <x v="175"/>
    <s v="25-Jun-25"/>
    <s v="25-Jul-25"/>
    <s v="03-Jul-25"/>
    <n v="12000"/>
    <n v="12000"/>
    <x v="0"/>
    <n v="2"/>
    <n v="8"/>
    <x v="0"/>
    <x v="0"/>
  </r>
  <r>
    <s v="O0248"/>
    <x v="61"/>
    <x v="0"/>
    <x v="176"/>
    <s v="09-Aug-25"/>
    <s v="08-Sep-25"/>
    <s v="18-Aug-25"/>
    <n v="50000"/>
    <n v="50000"/>
    <x v="0"/>
    <n v="2"/>
    <n v="9"/>
    <x v="0"/>
    <x v="0"/>
  </r>
  <r>
    <s v="O0249"/>
    <x v="13"/>
    <x v="0"/>
    <x v="177"/>
    <s v="01-Sep-25"/>
    <s v="01-Oct-25"/>
    <m/>
    <n v="10000"/>
    <n v="0"/>
    <x v="2"/>
    <n v="1"/>
    <n v="287"/>
    <x v="9"/>
    <x v="2"/>
  </r>
  <r>
    <s v="O0250"/>
    <x v="71"/>
    <x v="1"/>
    <x v="178"/>
    <s v="11-Aug-25"/>
    <s v="10-Sep-25"/>
    <m/>
    <n v="100000"/>
    <n v="0"/>
    <x v="2"/>
    <n v="1"/>
    <n v="308"/>
    <x v="17"/>
    <x v="2"/>
  </r>
  <r>
    <s v="O0251"/>
    <x v="88"/>
    <x v="0"/>
    <x v="126"/>
    <s v="03-Feb-25"/>
    <s v="05-Mar-25"/>
    <s v="27-Mar-25"/>
    <n v="55000"/>
    <n v="55000"/>
    <x v="1"/>
    <n v="3"/>
    <n v="52"/>
    <x v="0"/>
    <x v="1"/>
  </r>
  <r>
    <s v="O0252"/>
    <x v="89"/>
    <x v="3"/>
    <x v="41"/>
    <s v="01-Aug-25"/>
    <s v="31-Aug-25"/>
    <m/>
    <n v="18000"/>
    <n v="0"/>
    <x v="2"/>
    <n v="2"/>
    <n v="318"/>
    <x v="8"/>
    <x v="2"/>
  </r>
  <r>
    <s v="O0253"/>
    <x v="86"/>
    <x v="0"/>
    <x v="179"/>
    <s v="29-Jan-25"/>
    <s v="28-Feb-25"/>
    <s v="21-Feb-25"/>
    <n v="60000"/>
    <n v="60000"/>
    <x v="0"/>
    <n v="2"/>
    <n v="23"/>
    <x v="0"/>
    <x v="0"/>
  </r>
  <r>
    <s v="O0254"/>
    <x v="42"/>
    <x v="0"/>
    <x v="180"/>
    <s v="20-Apr-25"/>
    <s v="20-May-25"/>
    <s v="28-Apr-25"/>
    <n v="35000"/>
    <n v="35000"/>
    <x v="0"/>
    <n v="1"/>
    <n v="8"/>
    <x v="0"/>
    <x v="0"/>
  </r>
  <r>
    <s v="O0255"/>
    <x v="51"/>
    <x v="0"/>
    <x v="48"/>
    <s v="14-Oct-25"/>
    <s v="13-Nov-25"/>
    <m/>
    <n v="15000"/>
    <n v="0"/>
    <x v="4"/>
    <n v="2"/>
    <n v="244"/>
    <x v="2"/>
    <x v="2"/>
  </r>
  <r>
    <s v="O0256"/>
    <x v="57"/>
    <x v="0"/>
    <x v="181"/>
    <s v="28-Apr-25"/>
    <s v="28-May-25"/>
    <m/>
    <n v="55000"/>
    <n v="0"/>
    <x v="3"/>
    <n v="2"/>
    <n v="413"/>
    <x v="11"/>
    <x v="2"/>
  </r>
  <r>
    <s v="O0257"/>
    <x v="9"/>
    <x v="2"/>
    <x v="182"/>
    <s v="14-Nov-25"/>
    <s v="14-Dec-25"/>
    <s v="10-Dec-25"/>
    <n v="55000"/>
    <n v="55000"/>
    <x v="0"/>
    <n v="3"/>
    <n v="26"/>
    <x v="0"/>
    <x v="0"/>
  </r>
  <r>
    <s v="O0258"/>
    <x v="62"/>
    <x v="0"/>
    <x v="24"/>
    <s v="18-May-25"/>
    <s v="17-Jun-25"/>
    <s v="01-Jun-25"/>
    <n v="25000"/>
    <n v="25000"/>
    <x v="0"/>
    <n v="1"/>
    <n v="14"/>
    <x v="0"/>
    <x v="0"/>
  </r>
  <r>
    <s v="O0259"/>
    <x v="74"/>
    <x v="0"/>
    <x v="70"/>
    <s v="30-Jun-25"/>
    <s v="30-Jul-25"/>
    <m/>
    <n v="25000"/>
    <n v="0"/>
    <x v="2"/>
    <n v="1"/>
    <n v="350"/>
    <x v="12"/>
    <x v="2"/>
  </r>
  <r>
    <s v="O0260"/>
    <x v="72"/>
    <x v="0"/>
    <x v="136"/>
    <s v="05-Dec-25"/>
    <s v="04-Jan-26"/>
    <s v="30-Dec-25"/>
    <n v="10000"/>
    <n v="10000"/>
    <x v="0"/>
    <n v="2"/>
    <n v="25"/>
    <x v="0"/>
    <x v="0"/>
  </r>
  <r>
    <s v="O0261"/>
    <x v="3"/>
    <x v="2"/>
    <x v="183"/>
    <s v="19-Feb-25"/>
    <s v="21-Mar-25"/>
    <s v="09-Mar-25"/>
    <n v="45000"/>
    <n v="45000"/>
    <x v="0"/>
    <n v="3"/>
    <n v="18"/>
    <x v="0"/>
    <x v="0"/>
  </r>
  <r>
    <s v="O0262"/>
    <x v="90"/>
    <x v="0"/>
    <x v="184"/>
    <s v="25-Jun-25"/>
    <s v="25-Jul-25"/>
    <s v="10-Jul-25"/>
    <n v="100000"/>
    <n v="100000"/>
    <x v="0"/>
    <n v="1"/>
    <n v="15"/>
    <x v="0"/>
    <x v="0"/>
  </r>
  <r>
    <s v="O0263"/>
    <x v="91"/>
    <x v="0"/>
    <x v="185"/>
    <s v="21-Oct-25"/>
    <s v="20-Nov-25"/>
    <s v="04-Nov-25"/>
    <n v="10000"/>
    <n v="2500"/>
    <x v="5"/>
    <n v="3"/>
    <n v="14"/>
    <x v="19"/>
    <x v="0"/>
  </r>
  <r>
    <s v="O0264"/>
    <x v="22"/>
    <x v="2"/>
    <x v="186"/>
    <s v="14-Nov-25"/>
    <s v="14-Dec-25"/>
    <s v="10-Dec-25"/>
    <n v="10000"/>
    <n v="10000"/>
    <x v="0"/>
    <n v="1"/>
    <n v="26"/>
    <x v="0"/>
    <x v="0"/>
  </r>
  <r>
    <s v="O0265"/>
    <x v="18"/>
    <x v="0"/>
    <x v="187"/>
    <s v="09-Sep-25"/>
    <s v="09-Oct-25"/>
    <s v="20-Sep-25"/>
    <n v="22000"/>
    <n v="22000"/>
    <x v="0"/>
    <n v="3"/>
    <n v="11"/>
    <x v="0"/>
    <x v="0"/>
  </r>
  <r>
    <s v="O0266"/>
    <x v="22"/>
    <x v="2"/>
    <x v="188"/>
    <s v="21-Sep-25"/>
    <s v="21-Oct-25"/>
    <s v="05-Oct-25"/>
    <n v="100000"/>
    <n v="100000"/>
    <x v="0"/>
    <n v="1"/>
    <n v="14"/>
    <x v="0"/>
    <x v="0"/>
  </r>
  <r>
    <s v="O0267"/>
    <x v="55"/>
    <x v="0"/>
    <x v="189"/>
    <s v="17-Dec-25"/>
    <s v="16-Jan-26"/>
    <s v="31-Dec-25"/>
    <n v="35000"/>
    <n v="35000"/>
    <x v="0"/>
    <n v="3"/>
    <n v="14"/>
    <x v="0"/>
    <x v="0"/>
  </r>
  <r>
    <s v="O0268"/>
    <x v="10"/>
    <x v="1"/>
    <x v="36"/>
    <s v="25-Apr-25"/>
    <s v="25-May-25"/>
    <s v="09-May-25"/>
    <n v="8000"/>
    <n v="8000"/>
    <x v="0"/>
    <n v="2"/>
    <n v="14"/>
    <x v="0"/>
    <x v="0"/>
  </r>
  <r>
    <s v="O0269"/>
    <x v="35"/>
    <x v="0"/>
    <x v="190"/>
    <s v="14-Mar-25"/>
    <s v="13-Apr-25"/>
    <s v="19-Mar-25"/>
    <n v="60000"/>
    <n v="60000"/>
    <x v="0"/>
    <n v="2"/>
    <n v="5"/>
    <x v="0"/>
    <x v="0"/>
  </r>
  <r>
    <s v="O0270"/>
    <x v="92"/>
    <x v="0"/>
    <x v="191"/>
    <s v="10-Aug-25"/>
    <s v="09-Sep-25"/>
    <s v="06-Sep-25"/>
    <n v="20000"/>
    <n v="20000"/>
    <x v="0"/>
    <n v="1"/>
    <n v="27"/>
    <x v="0"/>
    <x v="0"/>
  </r>
  <r>
    <s v="O0271"/>
    <x v="11"/>
    <x v="2"/>
    <x v="192"/>
    <s v="17-Sep-25"/>
    <s v="17-Oct-25"/>
    <s v="15-Oct-25"/>
    <n v="100000"/>
    <n v="100000"/>
    <x v="0"/>
    <n v="3"/>
    <n v="28"/>
    <x v="0"/>
    <x v="0"/>
  </r>
  <r>
    <s v="O0272"/>
    <x v="10"/>
    <x v="1"/>
    <x v="109"/>
    <s v="13-Aug-25"/>
    <s v="12-Sep-25"/>
    <s v="07-Sep-25"/>
    <n v="22000"/>
    <n v="16500"/>
    <x v="5"/>
    <n v="1"/>
    <n v="25"/>
    <x v="20"/>
    <x v="0"/>
  </r>
  <r>
    <s v="O0273"/>
    <x v="18"/>
    <x v="0"/>
    <x v="193"/>
    <s v="23-Oct-25"/>
    <s v="22-Nov-25"/>
    <s v="09-Nov-25"/>
    <n v="18000"/>
    <n v="18000"/>
    <x v="0"/>
    <n v="2"/>
    <n v="17"/>
    <x v="0"/>
    <x v="0"/>
  </r>
  <r>
    <s v="O0274"/>
    <x v="93"/>
    <x v="2"/>
    <x v="194"/>
    <s v="17-Jun-25"/>
    <s v="17-Jul-25"/>
    <m/>
    <n v="22000"/>
    <n v="0"/>
    <x v="2"/>
    <n v="1"/>
    <n v="363"/>
    <x v="21"/>
    <x v="2"/>
  </r>
  <r>
    <s v="O0275"/>
    <x v="26"/>
    <x v="0"/>
    <x v="195"/>
    <s v="17-Feb-25"/>
    <s v="19-Mar-25"/>
    <s v="12-Mar-25"/>
    <n v="15000"/>
    <n v="15000"/>
    <x v="0"/>
    <n v="2"/>
    <n v="23"/>
    <x v="0"/>
    <x v="0"/>
  </r>
  <r>
    <s v="O0276"/>
    <x v="15"/>
    <x v="0"/>
    <x v="196"/>
    <s v="27-Sep-25"/>
    <s v="27-Oct-25"/>
    <m/>
    <n v="12000"/>
    <n v="0"/>
    <x v="2"/>
    <n v="1"/>
    <n v="261"/>
    <x v="18"/>
    <x v="2"/>
  </r>
  <r>
    <s v="O0277"/>
    <x v="45"/>
    <x v="0"/>
    <x v="175"/>
    <s v="24-Jun-25"/>
    <s v="24-Jul-25"/>
    <m/>
    <n v="75000"/>
    <n v="0"/>
    <x v="4"/>
    <n v="1"/>
    <n v="356"/>
    <x v="10"/>
    <x v="2"/>
  </r>
  <r>
    <s v="O0278"/>
    <x v="31"/>
    <x v="0"/>
    <x v="80"/>
    <s v="22-Sep-25"/>
    <s v="22-Oct-25"/>
    <s v="03-Oct-25"/>
    <n v="15000"/>
    <n v="15000"/>
    <x v="0"/>
    <n v="3"/>
    <n v="11"/>
    <x v="0"/>
    <x v="0"/>
  </r>
  <r>
    <s v="O0279"/>
    <x v="91"/>
    <x v="0"/>
    <x v="197"/>
    <s v="30-Jun-25"/>
    <s v="30-Jul-25"/>
    <s v="09-Jul-25"/>
    <n v="20000"/>
    <n v="20000"/>
    <x v="0"/>
    <n v="2"/>
    <n v="9"/>
    <x v="0"/>
    <x v="0"/>
  </r>
  <r>
    <s v="O0280"/>
    <x v="81"/>
    <x v="2"/>
    <x v="105"/>
    <s v="13-Apr-25"/>
    <s v="13-May-25"/>
    <m/>
    <n v="20000"/>
    <n v="0"/>
    <x v="4"/>
    <n v="1"/>
    <n v="428"/>
    <x v="14"/>
    <x v="2"/>
  </r>
  <r>
    <s v="O0281"/>
    <x v="16"/>
    <x v="0"/>
    <x v="160"/>
    <s v="09-Feb-25"/>
    <s v="11-Mar-25"/>
    <s v="04-Mar-25"/>
    <n v="35000"/>
    <n v="35000"/>
    <x v="0"/>
    <n v="1"/>
    <n v="23"/>
    <x v="0"/>
    <x v="0"/>
  </r>
  <r>
    <s v="O0282"/>
    <x v="23"/>
    <x v="3"/>
    <x v="52"/>
    <s v="26-Oct-25"/>
    <s v="25-Nov-25"/>
    <m/>
    <n v="75000"/>
    <n v="0"/>
    <x v="2"/>
    <n v="2"/>
    <n v="232"/>
    <x v="10"/>
    <x v="2"/>
  </r>
  <r>
    <s v="O0283"/>
    <x v="79"/>
    <x v="0"/>
    <x v="198"/>
    <s v="12-Jun-25"/>
    <s v="12-Jul-25"/>
    <s v="01-Jul-25"/>
    <n v="22000"/>
    <n v="22000"/>
    <x v="0"/>
    <n v="1"/>
    <n v="19"/>
    <x v="0"/>
    <x v="0"/>
  </r>
  <r>
    <s v="O0284"/>
    <x v="79"/>
    <x v="0"/>
    <x v="164"/>
    <s v="07-Jun-25"/>
    <s v="07-Jul-25"/>
    <s v="14-Jun-25"/>
    <n v="8000"/>
    <n v="8000"/>
    <x v="0"/>
    <n v="2"/>
    <n v="7"/>
    <x v="0"/>
    <x v="0"/>
  </r>
  <r>
    <s v="O0285"/>
    <x v="94"/>
    <x v="3"/>
    <x v="14"/>
    <s v="27-Aug-25"/>
    <s v="26-Sep-25"/>
    <s v="10-Sep-25"/>
    <n v="8000"/>
    <n v="8000"/>
    <x v="0"/>
    <n v="2"/>
    <n v="14"/>
    <x v="0"/>
    <x v="0"/>
  </r>
  <r>
    <s v="O0286"/>
    <x v="31"/>
    <x v="0"/>
    <x v="158"/>
    <s v="28-Nov-25"/>
    <s v="28-Dec-25"/>
    <s v="21-Dec-25"/>
    <n v="45000"/>
    <n v="45000"/>
    <x v="0"/>
    <n v="1"/>
    <n v="23"/>
    <x v="0"/>
    <x v="0"/>
  </r>
  <r>
    <s v="O0287"/>
    <x v="77"/>
    <x v="2"/>
    <x v="199"/>
    <s v="24-Jan-25"/>
    <s v="23-Feb-25"/>
    <s v="13-Feb-25"/>
    <n v="30000"/>
    <n v="30000"/>
    <x v="0"/>
    <n v="2"/>
    <n v="20"/>
    <x v="0"/>
    <x v="0"/>
  </r>
  <r>
    <s v="O0288"/>
    <x v="42"/>
    <x v="0"/>
    <x v="200"/>
    <s v="20-Mar-25"/>
    <s v="19-Apr-25"/>
    <s v="04-Apr-25"/>
    <n v="22000"/>
    <n v="22000"/>
    <x v="0"/>
    <n v="1"/>
    <n v="15"/>
    <x v="0"/>
    <x v="0"/>
  </r>
  <r>
    <s v="O0289"/>
    <x v="46"/>
    <x v="0"/>
    <x v="30"/>
    <s v="16-Feb-25"/>
    <s v="18-Mar-25"/>
    <s v="15-Mar-25"/>
    <n v="25000"/>
    <n v="25000"/>
    <x v="0"/>
    <n v="3"/>
    <n v="27"/>
    <x v="0"/>
    <x v="0"/>
  </r>
  <r>
    <s v="O0290"/>
    <x v="34"/>
    <x v="0"/>
    <x v="201"/>
    <s v="16-Aug-25"/>
    <s v="15-Sep-25"/>
    <s v="27-Sep-25"/>
    <n v="45000"/>
    <n v="45000"/>
    <x v="1"/>
    <n v="3"/>
    <n v="42"/>
    <x v="0"/>
    <x v="1"/>
  </r>
  <r>
    <s v="O0291"/>
    <x v="87"/>
    <x v="0"/>
    <x v="202"/>
    <s v="27-May-25"/>
    <s v="26-Jun-25"/>
    <m/>
    <n v="18000"/>
    <n v="0"/>
    <x v="4"/>
    <n v="2"/>
    <n v="384"/>
    <x v="8"/>
    <x v="2"/>
  </r>
  <r>
    <s v="O0292"/>
    <x v="55"/>
    <x v="0"/>
    <x v="129"/>
    <s v="04-Nov-25"/>
    <s v="04-Dec-25"/>
    <s v="12-Nov-25"/>
    <n v="75000"/>
    <n v="75000"/>
    <x v="0"/>
    <n v="1"/>
    <n v="8"/>
    <x v="0"/>
    <x v="0"/>
  </r>
  <r>
    <s v="O0293"/>
    <x v="88"/>
    <x v="0"/>
    <x v="189"/>
    <s v="16-Dec-25"/>
    <s v="15-Jan-26"/>
    <s v="11-Jan-26"/>
    <n v="60000"/>
    <n v="60000"/>
    <x v="0"/>
    <n v="2"/>
    <n v="26"/>
    <x v="0"/>
    <x v="0"/>
  </r>
  <r>
    <s v="O0294"/>
    <x v="56"/>
    <x v="0"/>
    <x v="203"/>
    <s v="20-Mar-25"/>
    <s v="19-Apr-25"/>
    <s v="24-Apr-25"/>
    <n v="10000"/>
    <n v="10000"/>
    <x v="1"/>
    <n v="2"/>
    <n v="35"/>
    <x v="0"/>
    <x v="1"/>
  </r>
  <r>
    <s v="O0295"/>
    <x v="51"/>
    <x v="0"/>
    <x v="81"/>
    <s v="11-Jun-25"/>
    <s v="11-Jul-25"/>
    <s v="08-Jul-25"/>
    <n v="12000"/>
    <n v="12000"/>
    <x v="0"/>
    <n v="3"/>
    <n v="27"/>
    <x v="0"/>
    <x v="0"/>
  </r>
  <r>
    <s v="O0296"/>
    <x v="27"/>
    <x v="2"/>
    <x v="81"/>
    <s v="11-Jun-25"/>
    <s v="11-Jul-25"/>
    <s v="22-Jul-25"/>
    <n v="12000"/>
    <n v="12000"/>
    <x v="1"/>
    <n v="3"/>
    <n v="41"/>
    <x v="0"/>
    <x v="1"/>
  </r>
  <r>
    <s v="O0297"/>
    <x v="41"/>
    <x v="0"/>
    <x v="54"/>
    <s v="13-Dec-25"/>
    <s v="12-Jan-26"/>
    <s v="08-Jan-26"/>
    <n v="45000"/>
    <n v="45000"/>
    <x v="0"/>
    <n v="3"/>
    <n v="26"/>
    <x v="0"/>
    <x v="0"/>
  </r>
  <r>
    <s v="O0298"/>
    <x v="18"/>
    <x v="0"/>
    <x v="140"/>
    <s v="20-Sep-25"/>
    <s v="20-Oct-25"/>
    <s v="30-Sep-25"/>
    <n v="5000"/>
    <n v="5000"/>
    <x v="0"/>
    <n v="2"/>
    <n v="10"/>
    <x v="0"/>
    <x v="0"/>
  </r>
  <r>
    <s v="O0299"/>
    <x v="35"/>
    <x v="0"/>
    <x v="184"/>
    <s v="26-Jun-25"/>
    <s v="26-Jul-25"/>
    <s v="05-Jul-25"/>
    <n v="30000"/>
    <n v="30000"/>
    <x v="0"/>
    <n v="2"/>
    <n v="9"/>
    <x v="0"/>
    <x v="0"/>
  </r>
  <r>
    <s v="O0300"/>
    <x v="20"/>
    <x v="2"/>
    <x v="89"/>
    <s v="11-Feb-25"/>
    <s v="13-Mar-25"/>
    <s v="05-Mar-25"/>
    <n v="15000"/>
    <n v="15000"/>
    <x v="0"/>
    <n v="2"/>
    <n v="22"/>
    <x v="0"/>
    <x v="0"/>
  </r>
  <r>
    <s v="O0301"/>
    <x v="1"/>
    <x v="0"/>
    <x v="204"/>
    <s v="28-Sep-25"/>
    <s v="28-Oct-25"/>
    <m/>
    <n v="75000"/>
    <n v="0"/>
    <x v="2"/>
    <n v="1"/>
    <n v="260"/>
    <x v="10"/>
    <x v="2"/>
  </r>
  <r>
    <s v="O0302"/>
    <x v="9"/>
    <x v="2"/>
    <x v="39"/>
    <s v="12-Mar-25"/>
    <s v="11-Apr-25"/>
    <s v="22-Mar-25"/>
    <n v="12000"/>
    <n v="12000"/>
    <x v="0"/>
    <n v="3"/>
    <n v="10"/>
    <x v="0"/>
    <x v="0"/>
  </r>
  <r>
    <s v="O0303"/>
    <x v="62"/>
    <x v="0"/>
    <x v="75"/>
    <s v="17-Nov-25"/>
    <s v="17-Dec-25"/>
    <s v="03-Dec-25"/>
    <n v="22000"/>
    <n v="22000"/>
    <x v="0"/>
    <n v="1"/>
    <n v="16"/>
    <x v="0"/>
    <x v="0"/>
  </r>
  <r>
    <s v="O0304"/>
    <x v="55"/>
    <x v="0"/>
    <x v="205"/>
    <s v="04-May-25"/>
    <s v="03-Jun-25"/>
    <m/>
    <n v="60000"/>
    <n v="0"/>
    <x v="4"/>
    <n v="2"/>
    <n v="407"/>
    <x v="3"/>
    <x v="2"/>
  </r>
  <r>
    <s v="O0305"/>
    <x v="37"/>
    <x v="2"/>
    <x v="171"/>
    <s v="19-Aug-25"/>
    <s v="18-Sep-25"/>
    <s v="08-Sep-25"/>
    <n v="55000"/>
    <n v="55000"/>
    <x v="0"/>
    <n v="1"/>
    <n v="20"/>
    <x v="0"/>
    <x v="0"/>
  </r>
  <r>
    <s v="O0306"/>
    <x v="53"/>
    <x v="3"/>
    <x v="103"/>
    <s v="11-Jul-25"/>
    <s v="10-Aug-25"/>
    <s v="25-Jul-25"/>
    <n v="22000"/>
    <n v="22000"/>
    <x v="0"/>
    <n v="3"/>
    <n v="14"/>
    <x v="0"/>
    <x v="0"/>
  </r>
  <r>
    <s v="O0307"/>
    <x v="91"/>
    <x v="0"/>
    <x v="67"/>
    <s v="18-Jul-25"/>
    <s v="17-Aug-25"/>
    <s v="28-Jul-25"/>
    <n v="45000"/>
    <n v="45000"/>
    <x v="0"/>
    <n v="3"/>
    <n v="10"/>
    <x v="0"/>
    <x v="0"/>
  </r>
  <r>
    <s v="O0308"/>
    <x v="95"/>
    <x v="1"/>
    <x v="206"/>
    <s v="07-Nov-25"/>
    <s v="07-Dec-25"/>
    <s v="27-Nov-25"/>
    <n v="50000"/>
    <n v="50000"/>
    <x v="0"/>
    <n v="1"/>
    <n v="20"/>
    <x v="0"/>
    <x v="0"/>
  </r>
  <r>
    <s v="O0309"/>
    <x v="87"/>
    <x v="0"/>
    <x v="59"/>
    <s v="12-Oct-25"/>
    <s v="11-Nov-25"/>
    <m/>
    <n v="45000"/>
    <n v="0"/>
    <x v="2"/>
    <n v="1"/>
    <n v="246"/>
    <x v="22"/>
    <x v="2"/>
  </r>
  <r>
    <s v="O0310"/>
    <x v="43"/>
    <x v="1"/>
    <x v="207"/>
    <s v="13-Feb-25"/>
    <s v="15-Mar-25"/>
    <s v="06-Mar-25"/>
    <n v="50000"/>
    <n v="50000"/>
    <x v="0"/>
    <n v="1"/>
    <n v="21"/>
    <x v="0"/>
    <x v="0"/>
  </r>
  <r>
    <s v="O0311"/>
    <x v="58"/>
    <x v="2"/>
    <x v="109"/>
    <s v="13-Aug-25"/>
    <s v="12-Sep-25"/>
    <m/>
    <n v="40000"/>
    <n v="0"/>
    <x v="2"/>
    <n v="1"/>
    <n v="306"/>
    <x v="16"/>
    <x v="2"/>
  </r>
  <r>
    <s v="O0312"/>
    <x v="51"/>
    <x v="0"/>
    <x v="98"/>
    <s v="16-Jan-25"/>
    <s v="15-Feb-25"/>
    <s v="01-Feb-25"/>
    <n v="8000"/>
    <n v="8000"/>
    <x v="0"/>
    <n v="2"/>
    <n v="16"/>
    <x v="0"/>
    <x v="0"/>
  </r>
  <r>
    <s v="O0313"/>
    <x v="85"/>
    <x v="3"/>
    <x v="148"/>
    <s v="18-Jul-25"/>
    <s v="17-Aug-25"/>
    <s v="02-Aug-25"/>
    <n v="100000"/>
    <n v="100000"/>
    <x v="0"/>
    <n v="1"/>
    <n v="15"/>
    <x v="0"/>
    <x v="0"/>
  </r>
  <r>
    <s v="O0314"/>
    <x v="6"/>
    <x v="3"/>
    <x v="100"/>
    <s v="01-Dec-25"/>
    <s v="31-Dec-25"/>
    <s v="15-Dec-25"/>
    <n v="20000"/>
    <n v="20000"/>
    <x v="0"/>
    <n v="2"/>
    <n v="14"/>
    <x v="0"/>
    <x v="0"/>
  </r>
  <r>
    <s v="O0315"/>
    <x v="67"/>
    <x v="0"/>
    <x v="208"/>
    <s v="24-Dec-25"/>
    <s v="23-Jan-26"/>
    <s v="29-Dec-25"/>
    <n v="35000"/>
    <n v="35000"/>
    <x v="0"/>
    <n v="1"/>
    <n v="5"/>
    <x v="0"/>
    <x v="0"/>
  </r>
  <r>
    <s v="O0316"/>
    <x v="27"/>
    <x v="2"/>
    <x v="99"/>
    <s v="12-Jan-25"/>
    <s v="11-Feb-25"/>
    <m/>
    <n v="30000"/>
    <n v="0"/>
    <x v="2"/>
    <n v="2"/>
    <n v="519"/>
    <x v="4"/>
    <x v="2"/>
  </r>
  <r>
    <s v="O0317"/>
    <x v="77"/>
    <x v="2"/>
    <x v="209"/>
    <s v="11-Nov-25"/>
    <s v="11-Dec-25"/>
    <s v="25-Nov-25"/>
    <n v="18000"/>
    <n v="18000"/>
    <x v="0"/>
    <n v="3"/>
    <n v="14"/>
    <x v="0"/>
    <x v="0"/>
  </r>
  <r>
    <s v="O0318"/>
    <x v="85"/>
    <x v="3"/>
    <x v="210"/>
    <s v="05-Jun-25"/>
    <s v="05-Jul-25"/>
    <s v="30-Jun-25"/>
    <n v="8000"/>
    <n v="8000"/>
    <x v="0"/>
    <n v="1"/>
    <n v="25"/>
    <x v="0"/>
    <x v="0"/>
  </r>
  <r>
    <s v="O0319"/>
    <x v="96"/>
    <x v="0"/>
    <x v="211"/>
    <s v="17-Nov-25"/>
    <s v="17-Dec-25"/>
    <s v="07-Dec-25"/>
    <n v="10000"/>
    <n v="10000"/>
    <x v="0"/>
    <n v="2"/>
    <n v="20"/>
    <x v="0"/>
    <x v="0"/>
  </r>
  <r>
    <s v="O0320"/>
    <x v="84"/>
    <x v="0"/>
    <x v="212"/>
    <s v="03-Oct-25"/>
    <s v="02-Nov-25"/>
    <s v="25-Nov-25"/>
    <n v="45000"/>
    <n v="45000"/>
    <x v="1"/>
    <n v="1"/>
    <n v="53"/>
    <x v="0"/>
    <x v="1"/>
  </r>
  <r>
    <s v="O0321"/>
    <x v="58"/>
    <x v="2"/>
    <x v="119"/>
    <s v="01-Jun-25"/>
    <s v="01-Jul-25"/>
    <s v="09-Jul-25"/>
    <n v="5000"/>
    <n v="5000"/>
    <x v="1"/>
    <n v="2"/>
    <n v="38"/>
    <x v="0"/>
    <x v="1"/>
  </r>
  <r>
    <s v="O0322"/>
    <x v="57"/>
    <x v="0"/>
    <x v="213"/>
    <s v="03-Aug-25"/>
    <s v="02-Sep-25"/>
    <s v="19-Aug-25"/>
    <n v="10000"/>
    <n v="10000"/>
    <x v="0"/>
    <n v="1"/>
    <n v="16"/>
    <x v="0"/>
    <x v="0"/>
  </r>
  <r>
    <s v="O0323"/>
    <x v="38"/>
    <x v="2"/>
    <x v="204"/>
    <s v="30-Sep-25"/>
    <s v="30-Oct-25"/>
    <m/>
    <n v="45000"/>
    <n v="0"/>
    <x v="4"/>
    <n v="3"/>
    <n v="258"/>
    <x v="22"/>
    <x v="2"/>
  </r>
  <r>
    <s v="O0324"/>
    <x v="42"/>
    <x v="0"/>
    <x v="59"/>
    <s v="12-Oct-25"/>
    <s v="11-Nov-25"/>
    <m/>
    <n v="12000"/>
    <n v="0"/>
    <x v="2"/>
    <n v="1"/>
    <n v="246"/>
    <x v="18"/>
    <x v="2"/>
  </r>
  <r>
    <s v="O0325"/>
    <x v="10"/>
    <x v="1"/>
    <x v="214"/>
    <s v="24-Nov-25"/>
    <s v="24-Dec-25"/>
    <s v="29-Nov-25"/>
    <n v="100000"/>
    <n v="100000"/>
    <x v="0"/>
    <n v="2"/>
    <n v="5"/>
    <x v="0"/>
    <x v="0"/>
  </r>
  <r>
    <s v="O0326"/>
    <x v="97"/>
    <x v="0"/>
    <x v="215"/>
    <s v="06-Feb-25"/>
    <s v="08-Mar-25"/>
    <m/>
    <n v="40000"/>
    <n v="0"/>
    <x v="4"/>
    <n v="2"/>
    <n v="494"/>
    <x v="16"/>
    <x v="2"/>
  </r>
  <r>
    <s v="O0327"/>
    <x v="79"/>
    <x v="0"/>
    <x v="216"/>
    <s v="26-Feb-25"/>
    <s v="28-Mar-25"/>
    <s v="14-Mar-25"/>
    <n v="75000"/>
    <n v="75000"/>
    <x v="0"/>
    <n v="3"/>
    <n v="16"/>
    <x v="0"/>
    <x v="0"/>
  </r>
  <r>
    <s v="O0328"/>
    <x v="25"/>
    <x v="0"/>
    <x v="175"/>
    <s v="26-Jun-25"/>
    <s v="26-Jul-25"/>
    <m/>
    <n v="25000"/>
    <n v="0"/>
    <x v="2"/>
    <n v="3"/>
    <n v="354"/>
    <x v="12"/>
    <x v="2"/>
  </r>
  <r>
    <s v="O0329"/>
    <x v="13"/>
    <x v="0"/>
    <x v="217"/>
    <s v="29-Aug-25"/>
    <s v="28-Sep-25"/>
    <s v="24-Oct-25"/>
    <n v="35000"/>
    <n v="35000"/>
    <x v="1"/>
    <n v="3"/>
    <n v="56"/>
    <x v="0"/>
    <x v="1"/>
  </r>
  <r>
    <s v="O0330"/>
    <x v="66"/>
    <x v="3"/>
    <x v="35"/>
    <s v="05-Feb-25"/>
    <s v="07-Mar-25"/>
    <s v="16-Feb-25"/>
    <n v="22000"/>
    <n v="22000"/>
    <x v="0"/>
    <n v="3"/>
    <n v="11"/>
    <x v="0"/>
    <x v="0"/>
  </r>
  <r>
    <s v="O0331"/>
    <x v="10"/>
    <x v="1"/>
    <x v="101"/>
    <s v="14-Apr-25"/>
    <s v="14-May-25"/>
    <s v="21-May-25"/>
    <n v="75000"/>
    <n v="37500"/>
    <x v="5"/>
    <n v="1"/>
    <n v="37"/>
    <x v="23"/>
    <x v="1"/>
  </r>
  <r>
    <s v="O0332"/>
    <x v="25"/>
    <x v="0"/>
    <x v="177"/>
    <s v="02-Sep-25"/>
    <s v="02-Oct-25"/>
    <m/>
    <n v="8000"/>
    <n v="0"/>
    <x v="4"/>
    <n v="2"/>
    <n v="286"/>
    <x v="5"/>
    <x v="2"/>
  </r>
  <r>
    <s v="O0333"/>
    <x v="53"/>
    <x v="3"/>
    <x v="78"/>
    <s v="29-May-25"/>
    <s v="28-Jun-25"/>
    <m/>
    <n v="8000"/>
    <n v="0"/>
    <x v="2"/>
    <n v="2"/>
    <n v="382"/>
    <x v="5"/>
    <x v="2"/>
  </r>
  <r>
    <s v="O0334"/>
    <x v="50"/>
    <x v="0"/>
    <x v="218"/>
    <s v="21-May-25"/>
    <s v="20-Jun-25"/>
    <s v="07-Jun-25"/>
    <n v="100000"/>
    <n v="100000"/>
    <x v="0"/>
    <n v="1"/>
    <n v="17"/>
    <x v="0"/>
    <x v="0"/>
  </r>
  <r>
    <s v="O0335"/>
    <x v="45"/>
    <x v="0"/>
    <x v="219"/>
    <s v="16-Aug-25"/>
    <s v="15-Sep-25"/>
    <m/>
    <n v="75000"/>
    <n v="0"/>
    <x v="3"/>
    <n v="2"/>
    <n v="303"/>
    <x v="10"/>
    <x v="2"/>
  </r>
  <r>
    <s v="O0336"/>
    <x v="92"/>
    <x v="0"/>
    <x v="220"/>
    <s v="23-Dec-25"/>
    <s v="22-Jan-26"/>
    <s v="30-Jan-26"/>
    <n v="100000"/>
    <n v="50000"/>
    <x v="5"/>
    <n v="2"/>
    <n v="38"/>
    <x v="1"/>
    <x v="1"/>
  </r>
  <r>
    <s v="O0337"/>
    <x v="27"/>
    <x v="2"/>
    <x v="221"/>
    <s v="07-Aug-25"/>
    <s v="06-Sep-25"/>
    <s v="03-Oct-25"/>
    <n v="18000"/>
    <n v="18000"/>
    <x v="1"/>
    <n v="1"/>
    <n v="57"/>
    <x v="0"/>
    <x v="1"/>
  </r>
  <r>
    <s v="O0338"/>
    <x v="98"/>
    <x v="1"/>
    <x v="222"/>
    <s v="09-Oct-25"/>
    <s v="08-Nov-25"/>
    <s v="24-Oct-25"/>
    <n v="75000"/>
    <n v="75000"/>
    <x v="0"/>
    <n v="2"/>
    <n v="15"/>
    <x v="0"/>
    <x v="0"/>
  </r>
  <r>
    <s v="O0339"/>
    <x v="39"/>
    <x v="0"/>
    <x v="117"/>
    <s v="03-Jun-25"/>
    <s v="03-Jul-25"/>
    <s v="17-Jul-25"/>
    <n v="22000"/>
    <n v="22000"/>
    <x v="1"/>
    <n v="2"/>
    <n v="44"/>
    <x v="0"/>
    <x v="1"/>
  </r>
  <r>
    <s v="O0340"/>
    <x v="28"/>
    <x v="1"/>
    <x v="33"/>
    <s v="22-Dec-25"/>
    <s v="21-Jan-26"/>
    <s v="19-Jan-26"/>
    <n v="100000"/>
    <n v="100000"/>
    <x v="0"/>
    <n v="2"/>
    <n v="28"/>
    <x v="0"/>
    <x v="0"/>
  </r>
  <r>
    <s v="O0341"/>
    <x v="97"/>
    <x v="0"/>
    <x v="182"/>
    <s v="13-Nov-25"/>
    <s v="13-Dec-25"/>
    <s v="08-Jan-26"/>
    <n v="50000"/>
    <n v="50000"/>
    <x v="1"/>
    <n v="2"/>
    <n v="56"/>
    <x v="0"/>
    <x v="1"/>
  </r>
  <r>
    <s v="O0342"/>
    <x v="30"/>
    <x v="0"/>
    <x v="160"/>
    <s v="11-Feb-25"/>
    <s v="13-Mar-25"/>
    <s v="11-Mar-25"/>
    <n v="12000"/>
    <n v="12000"/>
    <x v="0"/>
    <n v="3"/>
    <n v="28"/>
    <x v="0"/>
    <x v="0"/>
  </r>
  <r>
    <s v="O0343"/>
    <x v="55"/>
    <x v="0"/>
    <x v="87"/>
    <s v="24-Mar-25"/>
    <s v="23-Apr-25"/>
    <m/>
    <n v="20000"/>
    <n v="0"/>
    <x v="2"/>
    <n v="1"/>
    <n v="448"/>
    <x v="14"/>
    <x v="2"/>
  </r>
  <r>
    <s v="O0344"/>
    <x v="55"/>
    <x v="0"/>
    <x v="201"/>
    <s v="14-Aug-25"/>
    <s v="13-Sep-25"/>
    <s v="08-Sep-25"/>
    <n v="20000"/>
    <n v="20000"/>
    <x v="0"/>
    <n v="1"/>
    <n v="25"/>
    <x v="0"/>
    <x v="0"/>
  </r>
  <r>
    <s v="O0345"/>
    <x v="26"/>
    <x v="0"/>
    <x v="9"/>
    <s v="07-Jul-25"/>
    <s v="06-Aug-25"/>
    <s v="28-Aug-25"/>
    <n v="8000"/>
    <n v="8000"/>
    <x v="1"/>
    <n v="2"/>
    <n v="52"/>
    <x v="0"/>
    <x v="1"/>
  </r>
  <r>
    <s v="O0346"/>
    <x v="60"/>
    <x v="0"/>
    <x v="12"/>
    <s v="11-Jul-25"/>
    <s v="10-Aug-25"/>
    <m/>
    <n v="22000"/>
    <n v="0"/>
    <x v="4"/>
    <n v="2"/>
    <n v="339"/>
    <x v="21"/>
    <x v="2"/>
  </r>
  <r>
    <s v="O0347"/>
    <x v="57"/>
    <x v="0"/>
    <x v="190"/>
    <s v="15-Mar-25"/>
    <s v="14-Apr-25"/>
    <s v="09-Apr-25"/>
    <n v="100000"/>
    <n v="100000"/>
    <x v="0"/>
    <n v="3"/>
    <n v="25"/>
    <x v="0"/>
    <x v="0"/>
  </r>
  <r>
    <s v="O0348"/>
    <x v="5"/>
    <x v="3"/>
    <x v="43"/>
    <s v="09-May-25"/>
    <s v="08-Jun-25"/>
    <m/>
    <n v="5000"/>
    <n v="0"/>
    <x v="4"/>
    <n v="1"/>
    <n v="402"/>
    <x v="15"/>
    <x v="2"/>
  </r>
  <r>
    <s v="O0349"/>
    <x v="92"/>
    <x v="0"/>
    <x v="223"/>
    <s v="25-Sep-25"/>
    <s v="25-Oct-25"/>
    <s v="08-Oct-25"/>
    <n v="55000"/>
    <n v="55000"/>
    <x v="0"/>
    <n v="2"/>
    <n v="13"/>
    <x v="0"/>
    <x v="0"/>
  </r>
  <r>
    <s v="O0350"/>
    <x v="76"/>
    <x v="0"/>
    <x v="224"/>
    <s v="18-Aug-25"/>
    <s v="17-Sep-25"/>
    <s v="03-Oct-25"/>
    <n v="60000"/>
    <n v="60000"/>
    <x v="1"/>
    <n v="1"/>
    <n v="46"/>
    <x v="0"/>
    <x v="1"/>
  </r>
  <r>
    <s v="O0351"/>
    <x v="95"/>
    <x v="1"/>
    <x v="85"/>
    <s v="05-Mar-25"/>
    <s v="04-Apr-25"/>
    <s v="01-Apr-25"/>
    <n v="10000"/>
    <n v="10000"/>
    <x v="0"/>
    <n v="1"/>
    <n v="27"/>
    <x v="0"/>
    <x v="0"/>
  </r>
  <r>
    <s v="O0352"/>
    <x v="34"/>
    <x v="0"/>
    <x v="225"/>
    <s v="17-Feb-25"/>
    <s v="19-Mar-25"/>
    <s v="11-Apr-25"/>
    <n v="75000"/>
    <n v="75000"/>
    <x v="1"/>
    <n v="3"/>
    <n v="53"/>
    <x v="0"/>
    <x v="1"/>
  </r>
  <r>
    <s v="O0353"/>
    <x v="38"/>
    <x v="2"/>
    <x v="45"/>
    <s v="12-Oct-25"/>
    <s v="11-Nov-25"/>
    <s v="27-Oct-25"/>
    <n v="60000"/>
    <n v="45000"/>
    <x v="5"/>
    <n v="3"/>
    <n v="15"/>
    <x v="2"/>
    <x v="0"/>
  </r>
  <r>
    <s v="O0354"/>
    <x v="76"/>
    <x v="0"/>
    <x v="163"/>
    <s v="28-Dec-25"/>
    <s v="27-Jan-26"/>
    <m/>
    <n v="25000"/>
    <n v="0"/>
    <x v="4"/>
    <n v="3"/>
    <n v="169"/>
    <x v="12"/>
    <x v="2"/>
  </r>
  <r>
    <s v="O0355"/>
    <x v="19"/>
    <x v="0"/>
    <x v="226"/>
    <s v="26-Apr-25"/>
    <s v="26-May-25"/>
    <m/>
    <n v="30000"/>
    <n v="0"/>
    <x v="4"/>
    <n v="1"/>
    <n v="415"/>
    <x v="4"/>
    <x v="2"/>
  </r>
  <r>
    <s v="O0356"/>
    <x v="85"/>
    <x v="3"/>
    <x v="20"/>
    <s v="11-Sep-25"/>
    <s v="11-Oct-25"/>
    <s v="23-Oct-25"/>
    <n v="100000"/>
    <n v="100000"/>
    <x v="1"/>
    <n v="1"/>
    <n v="42"/>
    <x v="0"/>
    <x v="1"/>
  </r>
  <r>
    <s v="O0357"/>
    <x v="70"/>
    <x v="3"/>
    <x v="63"/>
    <s v="11-Oct-25"/>
    <s v="10-Nov-25"/>
    <s v="28-Oct-25"/>
    <n v="10000"/>
    <n v="10000"/>
    <x v="0"/>
    <n v="1"/>
    <n v="17"/>
    <x v="0"/>
    <x v="0"/>
  </r>
  <r>
    <s v="O0358"/>
    <x v="46"/>
    <x v="0"/>
    <x v="174"/>
    <s v="06-Sep-25"/>
    <s v="06-Oct-25"/>
    <m/>
    <n v="18000"/>
    <n v="0"/>
    <x v="4"/>
    <n v="3"/>
    <n v="282"/>
    <x v="8"/>
    <x v="2"/>
  </r>
  <r>
    <s v="O0359"/>
    <x v="57"/>
    <x v="0"/>
    <x v="227"/>
    <s v="08-Feb-25"/>
    <s v="10-Mar-25"/>
    <s v="25-Mar-25"/>
    <n v="75000"/>
    <n v="75000"/>
    <x v="1"/>
    <n v="1"/>
    <n v="45"/>
    <x v="0"/>
    <x v="1"/>
  </r>
  <r>
    <s v="O0360"/>
    <x v="70"/>
    <x v="3"/>
    <x v="23"/>
    <s v="18-Dec-25"/>
    <s v="17-Jan-26"/>
    <s v="09-Jan-26"/>
    <n v="100000"/>
    <n v="100000"/>
    <x v="0"/>
    <n v="3"/>
    <n v="22"/>
    <x v="0"/>
    <x v="0"/>
  </r>
  <r>
    <s v="O0361"/>
    <x v="0"/>
    <x v="0"/>
    <x v="131"/>
    <s v="29-Oct-25"/>
    <s v="28-Nov-25"/>
    <s v="04-Nov-25"/>
    <n v="20000"/>
    <n v="20000"/>
    <x v="0"/>
    <n v="1"/>
    <n v="6"/>
    <x v="0"/>
    <x v="0"/>
  </r>
  <r>
    <s v="O0362"/>
    <x v="89"/>
    <x v="3"/>
    <x v="223"/>
    <s v="24-Sep-25"/>
    <s v="24-Oct-25"/>
    <s v="09-Oct-25"/>
    <n v="60000"/>
    <n v="60000"/>
    <x v="0"/>
    <n v="1"/>
    <n v="15"/>
    <x v="0"/>
    <x v="0"/>
  </r>
  <r>
    <s v="O0363"/>
    <x v="76"/>
    <x v="0"/>
    <x v="181"/>
    <s v="28-Apr-25"/>
    <s v="28-May-25"/>
    <s v="08-May-25"/>
    <n v="45000"/>
    <n v="22500"/>
    <x v="5"/>
    <n v="2"/>
    <n v="10"/>
    <x v="6"/>
    <x v="0"/>
  </r>
  <r>
    <s v="O0364"/>
    <x v="95"/>
    <x v="1"/>
    <x v="214"/>
    <s v="25-Nov-25"/>
    <s v="25-Dec-25"/>
    <s v="09-Dec-25"/>
    <n v="50000"/>
    <n v="50000"/>
    <x v="0"/>
    <n v="3"/>
    <n v="14"/>
    <x v="0"/>
    <x v="0"/>
  </r>
  <r>
    <s v="O0365"/>
    <x v="44"/>
    <x v="0"/>
    <x v="118"/>
    <s v="02-Oct-25"/>
    <s v="01-Nov-25"/>
    <s v="20-Nov-25"/>
    <n v="45000"/>
    <n v="45000"/>
    <x v="1"/>
    <n v="1"/>
    <n v="49"/>
    <x v="0"/>
    <x v="1"/>
  </r>
  <r>
    <s v="O0366"/>
    <x v="48"/>
    <x v="0"/>
    <x v="91"/>
    <s v="21-Mar-25"/>
    <s v="20-Apr-25"/>
    <m/>
    <n v="75000"/>
    <n v="0"/>
    <x v="2"/>
    <n v="1"/>
    <n v="451"/>
    <x v="10"/>
    <x v="2"/>
  </r>
  <r>
    <s v="O0367"/>
    <x v="72"/>
    <x v="0"/>
    <x v="199"/>
    <s v="23-Jan-25"/>
    <s v="22-Feb-25"/>
    <s v="17-Feb-25"/>
    <n v="10000"/>
    <n v="10000"/>
    <x v="0"/>
    <n v="1"/>
    <n v="25"/>
    <x v="0"/>
    <x v="0"/>
  </r>
  <r>
    <s v="O0368"/>
    <x v="14"/>
    <x v="0"/>
    <x v="228"/>
    <s v="25-Oct-25"/>
    <s v="24-Nov-25"/>
    <m/>
    <n v="30000"/>
    <n v="0"/>
    <x v="4"/>
    <n v="2"/>
    <n v="233"/>
    <x v="4"/>
    <x v="2"/>
  </r>
  <r>
    <s v="O0369"/>
    <x v="68"/>
    <x v="1"/>
    <x v="186"/>
    <s v="16-Nov-25"/>
    <s v="16-Dec-25"/>
    <s v="11-Dec-25"/>
    <n v="5000"/>
    <n v="5000"/>
    <x v="0"/>
    <n v="3"/>
    <n v="25"/>
    <x v="0"/>
    <x v="0"/>
  </r>
  <r>
    <s v="O0370"/>
    <x v="25"/>
    <x v="0"/>
    <x v="229"/>
    <s v="01-Jun-25"/>
    <s v="01-Jul-25"/>
    <s v="27-Jun-25"/>
    <n v="60000"/>
    <n v="60000"/>
    <x v="0"/>
    <n v="3"/>
    <n v="26"/>
    <x v="0"/>
    <x v="0"/>
  </r>
  <r>
    <s v="O0371"/>
    <x v="15"/>
    <x v="0"/>
    <x v="143"/>
    <s v="04-Jun-25"/>
    <s v="04-Jul-25"/>
    <s v="10-Jul-25"/>
    <n v="10000"/>
    <n v="10000"/>
    <x v="1"/>
    <n v="2"/>
    <n v="36"/>
    <x v="0"/>
    <x v="1"/>
  </r>
  <r>
    <s v="O0372"/>
    <x v="34"/>
    <x v="0"/>
    <x v="142"/>
    <s v="03-Aug-25"/>
    <s v="02-Sep-25"/>
    <s v="27-Aug-25"/>
    <n v="22000"/>
    <n v="22000"/>
    <x v="0"/>
    <n v="2"/>
    <n v="24"/>
    <x v="0"/>
    <x v="0"/>
  </r>
  <r>
    <s v="O0373"/>
    <x v="58"/>
    <x v="2"/>
    <x v="230"/>
    <s v="13-Jun-25"/>
    <s v="13-Jul-25"/>
    <m/>
    <n v="75000"/>
    <n v="0"/>
    <x v="4"/>
    <n v="3"/>
    <n v="367"/>
    <x v="10"/>
    <x v="2"/>
  </r>
  <r>
    <s v="O0374"/>
    <x v="51"/>
    <x v="0"/>
    <x v="231"/>
    <s v="25-Jul-25"/>
    <s v="24-Aug-25"/>
    <s v="02-Aug-25"/>
    <n v="100000"/>
    <n v="100000"/>
    <x v="0"/>
    <n v="1"/>
    <n v="8"/>
    <x v="0"/>
    <x v="0"/>
  </r>
  <r>
    <s v="O0375"/>
    <x v="61"/>
    <x v="0"/>
    <x v="232"/>
    <s v="06-May-25"/>
    <s v="05-Jun-25"/>
    <s v="18-May-25"/>
    <n v="15000"/>
    <n v="15000"/>
    <x v="0"/>
    <n v="2"/>
    <n v="12"/>
    <x v="0"/>
    <x v="0"/>
  </r>
  <r>
    <s v="O0376"/>
    <x v="58"/>
    <x v="2"/>
    <x v="233"/>
    <s v="20-Feb-25"/>
    <s v="22-Mar-25"/>
    <m/>
    <n v="60000"/>
    <n v="0"/>
    <x v="3"/>
    <n v="1"/>
    <n v="480"/>
    <x v="3"/>
    <x v="2"/>
  </r>
  <r>
    <s v="O0377"/>
    <x v="44"/>
    <x v="0"/>
    <x v="234"/>
    <s v="04-Aug-25"/>
    <s v="03-Sep-25"/>
    <m/>
    <n v="25000"/>
    <n v="0"/>
    <x v="2"/>
    <n v="1"/>
    <n v="315"/>
    <x v="12"/>
    <x v="2"/>
  </r>
  <r>
    <s v="O0378"/>
    <x v="57"/>
    <x v="0"/>
    <x v="230"/>
    <s v="11-Jun-25"/>
    <s v="11-Jul-25"/>
    <s v="02-Jul-25"/>
    <n v="25000"/>
    <n v="25000"/>
    <x v="0"/>
    <n v="1"/>
    <n v="21"/>
    <x v="0"/>
    <x v="0"/>
  </r>
  <r>
    <s v="O0379"/>
    <x v="70"/>
    <x v="3"/>
    <x v="18"/>
    <s v="15-Sep-25"/>
    <s v="15-Oct-25"/>
    <s v="02-Oct-25"/>
    <n v="35000"/>
    <n v="35000"/>
    <x v="0"/>
    <n v="2"/>
    <n v="17"/>
    <x v="0"/>
    <x v="0"/>
  </r>
  <r>
    <s v="O0380"/>
    <x v="42"/>
    <x v="0"/>
    <x v="55"/>
    <s v="24-Aug-25"/>
    <s v="23-Sep-25"/>
    <s v="25-Sep-25"/>
    <n v="30000"/>
    <n v="30000"/>
    <x v="1"/>
    <n v="1"/>
    <n v="32"/>
    <x v="0"/>
    <x v="1"/>
  </r>
  <r>
    <s v="O0381"/>
    <x v="47"/>
    <x v="2"/>
    <x v="202"/>
    <s v="27-May-25"/>
    <s v="26-Jun-25"/>
    <s v="01-Jun-25"/>
    <n v="35000"/>
    <n v="35000"/>
    <x v="0"/>
    <n v="2"/>
    <n v="5"/>
    <x v="0"/>
    <x v="0"/>
  </r>
  <r>
    <s v="O0382"/>
    <x v="33"/>
    <x v="3"/>
    <x v="191"/>
    <s v="10-Aug-25"/>
    <s v="09-Sep-25"/>
    <m/>
    <n v="50000"/>
    <n v="0"/>
    <x v="4"/>
    <n v="1"/>
    <n v="309"/>
    <x v="1"/>
    <x v="2"/>
  </r>
  <r>
    <s v="O0383"/>
    <x v="23"/>
    <x v="3"/>
    <x v="128"/>
    <s v="28-Jul-25"/>
    <s v="27-Aug-25"/>
    <s v="20-Aug-25"/>
    <n v="8000"/>
    <n v="8000"/>
    <x v="0"/>
    <n v="2"/>
    <n v="23"/>
    <x v="0"/>
    <x v="0"/>
  </r>
  <r>
    <s v="O0384"/>
    <x v="88"/>
    <x v="0"/>
    <x v="83"/>
    <s v="12-Apr-25"/>
    <s v="12-May-25"/>
    <s v="29-Apr-25"/>
    <n v="55000"/>
    <n v="55000"/>
    <x v="0"/>
    <n v="2"/>
    <n v="17"/>
    <x v="0"/>
    <x v="0"/>
  </r>
  <r>
    <s v="O0385"/>
    <x v="42"/>
    <x v="0"/>
    <x v="121"/>
    <s v="22-Aug-25"/>
    <s v="21-Sep-25"/>
    <m/>
    <n v="50000"/>
    <n v="0"/>
    <x v="2"/>
    <n v="3"/>
    <n v="297"/>
    <x v="1"/>
    <x v="2"/>
  </r>
  <r>
    <s v="O0386"/>
    <x v="9"/>
    <x v="2"/>
    <x v="23"/>
    <s v="18-Dec-25"/>
    <s v="17-Jan-26"/>
    <s v="26-Dec-25"/>
    <n v="15000"/>
    <n v="15000"/>
    <x v="0"/>
    <n v="3"/>
    <n v="8"/>
    <x v="0"/>
    <x v="0"/>
  </r>
  <r>
    <s v="O0387"/>
    <x v="99"/>
    <x v="0"/>
    <x v="34"/>
    <s v="13-Jul-25"/>
    <s v="12-Aug-25"/>
    <s v="27-Jul-25"/>
    <n v="55000"/>
    <n v="13750"/>
    <x v="5"/>
    <n v="2"/>
    <n v="14"/>
    <x v="24"/>
    <x v="0"/>
  </r>
  <r>
    <s v="O0388"/>
    <x v="56"/>
    <x v="0"/>
    <x v="140"/>
    <s v="20-Sep-25"/>
    <s v="20-Oct-25"/>
    <s v="26-Sep-25"/>
    <n v="45000"/>
    <n v="45000"/>
    <x v="0"/>
    <n v="2"/>
    <n v="6"/>
    <x v="0"/>
    <x v="0"/>
  </r>
  <r>
    <s v="O0389"/>
    <x v="66"/>
    <x v="3"/>
    <x v="235"/>
    <s v="22-Jun-25"/>
    <s v="22-Jul-25"/>
    <s v="16-Jul-25"/>
    <n v="45000"/>
    <n v="45000"/>
    <x v="0"/>
    <n v="2"/>
    <n v="24"/>
    <x v="0"/>
    <x v="0"/>
  </r>
  <r>
    <s v="O0390"/>
    <x v="19"/>
    <x v="0"/>
    <x v="236"/>
    <s v="15-Mar-25"/>
    <s v="14-Apr-25"/>
    <s v="08-Apr-25"/>
    <n v="75000"/>
    <n v="75000"/>
    <x v="0"/>
    <n v="2"/>
    <n v="24"/>
    <x v="0"/>
    <x v="0"/>
  </r>
  <r>
    <s v="O0391"/>
    <x v="1"/>
    <x v="0"/>
    <x v="237"/>
    <s v="06-Jun-25"/>
    <s v="06-Jul-25"/>
    <s v="27-Jun-25"/>
    <n v="75000"/>
    <n v="75000"/>
    <x v="0"/>
    <n v="3"/>
    <n v="21"/>
    <x v="0"/>
    <x v="0"/>
  </r>
  <r>
    <s v="O0392"/>
    <x v="65"/>
    <x v="0"/>
    <x v="107"/>
    <s v="11-Sep-25"/>
    <s v="11-Oct-25"/>
    <s v="16-Sep-25"/>
    <n v="60000"/>
    <n v="60000"/>
    <x v="0"/>
    <n v="3"/>
    <n v="5"/>
    <x v="0"/>
    <x v="0"/>
  </r>
  <r>
    <s v="O0393"/>
    <x v="87"/>
    <x v="0"/>
    <x v="238"/>
    <s v="22-Jun-25"/>
    <s v="22-Jul-25"/>
    <m/>
    <n v="15000"/>
    <n v="0"/>
    <x v="3"/>
    <n v="3"/>
    <n v="358"/>
    <x v="2"/>
    <x v="2"/>
  </r>
  <r>
    <s v="O0394"/>
    <x v="48"/>
    <x v="0"/>
    <x v="29"/>
    <s v="10-Jun-25"/>
    <s v="10-Jul-25"/>
    <s v="19-Jul-25"/>
    <n v="5000"/>
    <n v="5000"/>
    <x v="1"/>
    <n v="3"/>
    <n v="39"/>
    <x v="0"/>
    <x v="1"/>
  </r>
  <r>
    <s v="O0395"/>
    <x v="16"/>
    <x v="0"/>
    <x v="52"/>
    <s v="27-Oct-25"/>
    <s v="26-Nov-25"/>
    <m/>
    <n v="40000"/>
    <n v="0"/>
    <x v="4"/>
    <n v="3"/>
    <n v="231"/>
    <x v="16"/>
    <x v="2"/>
  </r>
  <r>
    <s v="O0396"/>
    <x v="48"/>
    <x v="0"/>
    <x v="174"/>
    <s v="04-Sep-25"/>
    <s v="04-Oct-25"/>
    <s v="24-Oct-25"/>
    <n v="45000"/>
    <n v="45000"/>
    <x v="1"/>
    <n v="1"/>
    <n v="50"/>
    <x v="0"/>
    <x v="1"/>
  </r>
  <r>
    <s v="O0397"/>
    <x v="91"/>
    <x v="0"/>
    <x v="239"/>
    <s v="15-Jul-25"/>
    <s v="14-Aug-25"/>
    <s v="11-Aug-25"/>
    <n v="40000"/>
    <n v="40000"/>
    <x v="0"/>
    <n v="1"/>
    <n v="27"/>
    <x v="0"/>
    <x v="0"/>
  </r>
  <r>
    <s v="O0398"/>
    <x v="83"/>
    <x v="1"/>
    <x v="40"/>
    <s v="09-Apr-25"/>
    <s v="09-May-25"/>
    <s v="18-Apr-25"/>
    <n v="22000"/>
    <n v="22000"/>
    <x v="0"/>
    <n v="1"/>
    <n v="9"/>
    <x v="0"/>
    <x v="0"/>
  </r>
  <r>
    <s v="O0399"/>
    <x v="32"/>
    <x v="0"/>
    <x v="33"/>
    <s v="21-Dec-25"/>
    <s v="20-Jan-26"/>
    <s v="14-Jan-26"/>
    <n v="18000"/>
    <n v="18000"/>
    <x v="0"/>
    <n v="1"/>
    <n v="24"/>
    <x v="0"/>
    <x v="0"/>
  </r>
  <r>
    <s v="O0400"/>
    <x v="67"/>
    <x v="0"/>
    <x v="42"/>
    <s v="04-Feb-25"/>
    <s v="06-Mar-25"/>
    <s v="26-Feb-25"/>
    <n v="20000"/>
    <n v="20000"/>
    <x v="0"/>
    <n v="3"/>
    <n v="22"/>
    <x v="0"/>
    <x v="0"/>
  </r>
  <r>
    <s v="O0401"/>
    <x v="73"/>
    <x v="2"/>
    <x v="58"/>
    <s v="08-Dec-25"/>
    <s v="07-Jan-26"/>
    <s v="18-Dec-25"/>
    <n v="45000"/>
    <n v="45000"/>
    <x v="0"/>
    <n v="2"/>
    <n v="10"/>
    <x v="0"/>
    <x v="0"/>
  </r>
  <r>
    <s v="O0402"/>
    <x v="90"/>
    <x v="0"/>
    <x v="31"/>
    <s v="02-Oct-25"/>
    <s v="01-Nov-25"/>
    <s v="30-Oct-25"/>
    <n v="55000"/>
    <n v="55000"/>
    <x v="0"/>
    <n v="2"/>
    <n v="28"/>
    <x v="0"/>
    <x v="0"/>
  </r>
  <r>
    <s v="O0403"/>
    <x v="13"/>
    <x v="0"/>
    <x v="240"/>
    <s v="29-Nov-25"/>
    <s v="29-Dec-25"/>
    <s v="05-Jan-26"/>
    <n v="50000"/>
    <n v="50000"/>
    <x v="1"/>
    <n v="3"/>
    <n v="37"/>
    <x v="0"/>
    <x v="1"/>
  </r>
  <r>
    <s v="O0404"/>
    <x v="17"/>
    <x v="3"/>
    <x v="4"/>
    <s v="26-May-25"/>
    <s v="25-Jun-25"/>
    <s v="09-Jun-25"/>
    <n v="60000"/>
    <n v="60000"/>
    <x v="0"/>
    <n v="3"/>
    <n v="14"/>
    <x v="0"/>
    <x v="0"/>
  </r>
  <r>
    <s v="O0405"/>
    <x v="14"/>
    <x v="0"/>
    <x v="127"/>
    <s v="31-May-25"/>
    <s v="30-Jun-25"/>
    <s v="16-Jul-25"/>
    <n v="30000"/>
    <n v="30000"/>
    <x v="1"/>
    <n v="3"/>
    <n v="46"/>
    <x v="0"/>
    <x v="1"/>
  </r>
  <r>
    <s v="O0406"/>
    <x v="61"/>
    <x v="0"/>
    <x v="174"/>
    <s v="05-Sep-25"/>
    <s v="05-Oct-25"/>
    <s v="27-Sep-25"/>
    <n v="55000"/>
    <n v="27500"/>
    <x v="5"/>
    <n v="2"/>
    <n v="22"/>
    <x v="25"/>
    <x v="0"/>
  </r>
  <r>
    <s v="O0407"/>
    <x v="89"/>
    <x v="3"/>
    <x v="193"/>
    <s v="24-Oct-25"/>
    <s v="23-Nov-25"/>
    <s v="10-Nov-25"/>
    <n v="55000"/>
    <n v="55000"/>
    <x v="0"/>
    <n v="3"/>
    <n v="17"/>
    <x v="0"/>
    <x v="0"/>
  </r>
  <r>
    <s v="O0408"/>
    <x v="51"/>
    <x v="0"/>
    <x v="241"/>
    <s v="18-Mar-25"/>
    <s v="17-Apr-25"/>
    <s v="14-Apr-25"/>
    <n v="8000"/>
    <n v="8000"/>
    <x v="0"/>
    <n v="2"/>
    <n v="27"/>
    <x v="0"/>
    <x v="0"/>
  </r>
  <r>
    <s v="O0409"/>
    <x v="27"/>
    <x v="2"/>
    <x v="242"/>
    <s v="29-Jun-25"/>
    <s v="29-Jul-25"/>
    <m/>
    <n v="50000"/>
    <n v="0"/>
    <x v="4"/>
    <n v="2"/>
    <n v="351"/>
    <x v="1"/>
    <x v="2"/>
  </r>
  <r>
    <s v="O0410"/>
    <x v="35"/>
    <x v="0"/>
    <x v="243"/>
    <s v="17-Apr-25"/>
    <s v="17-May-25"/>
    <s v="09-May-25"/>
    <n v="50000"/>
    <n v="12500"/>
    <x v="5"/>
    <n v="3"/>
    <n v="22"/>
    <x v="23"/>
    <x v="0"/>
  </r>
  <r>
    <s v="O0411"/>
    <x v="33"/>
    <x v="3"/>
    <x v="244"/>
    <s v="15-Nov-25"/>
    <s v="15-Dec-25"/>
    <s v="11-Dec-25"/>
    <n v="40000"/>
    <n v="40000"/>
    <x v="0"/>
    <n v="3"/>
    <n v="26"/>
    <x v="0"/>
    <x v="0"/>
  </r>
  <r>
    <s v="O0412"/>
    <x v="100"/>
    <x v="2"/>
    <x v="181"/>
    <s v="29-Apr-25"/>
    <s v="29-May-25"/>
    <s v="17-May-25"/>
    <n v="40000"/>
    <n v="40000"/>
    <x v="0"/>
    <n v="3"/>
    <n v="18"/>
    <x v="0"/>
    <x v="0"/>
  </r>
  <r>
    <s v="O0413"/>
    <x v="50"/>
    <x v="0"/>
    <x v="245"/>
    <s v="31-Aug-25"/>
    <s v="30-Sep-25"/>
    <s v="22-Sep-25"/>
    <n v="20000"/>
    <n v="20000"/>
    <x v="0"/>
    <n v="1"/>
    <n v="22"/>
    <x v="0"/>
    <x v="0"/>
  </r>
  <r>
    <s v="O0414"/>
    <x v="12"/>
    <x v="0"/>
    <x v="139"/>
    <s v="31-Jul-25"/>
    <s v="30-Aug-25"/>
    <s v="11-Aug-25"/>
    <n v="35000"/>
    <n v="35000"/>
    <x v="0"/>
    <n v="3"/>
    <n v="11"/>
    <x v="0"/>
    <x v="0"/>
  </r>
  <r>
    <s v="O0415"/>
    <x v="22"/>
    <x v="2"/>
    <x v="127"/>
    <s v="30-May-25"/>
    <s v="29-Jun-25"/>
    <s v="29-Jul-25"/>
    <n v="60000"/>
    <n v="60000"/>
    <x v="1"/>
    <n v="2"/>
    <n v="60"/>
    <x v="0"/>
    <x v="1"/>
  </r>
  <r>
    <s v="O0416"/>
    <x v="14"/>
    <x v="0"/>
    <x v="195"/>
    <s v="18-Feb-25"/>
    <s v="20-Mar-25"/>
    <s v="18-Mar-25"/>
    <n v="40000"/>
    <n v="40000"/>
    <x v="0"/>
    <n v="3"/>
    <n v="28"/>
    <x v="0"/>
    <x v="0"/>
  </r>
  <r>
    <s v="O0417"/>
    <x v="2"/>
    <x v="1"/>
    <x v="77"/>
    <s v="02-Apr-25"/>
    <s v="02-May-25"/>
    <s v="09-Apr-25"/>
    <n v="25000"/>
    <n v="12500"/>
    <x v="5"/>
    <n v="2"/>
    <n v="7"/>
    <x v="26"/>
    <x v="0"/>
  </r>
  <r>
    <s v="O0418"/>
    <x v="37"/>
    <x v="2"/>
    <x v="246"/>
    <s v="12-Sep-25"/>
    <s v="12-Oct-25"/>
    <m/>
    <n v="60000"/>
    <n v="0"/>
    <x v="2"/>
    <n v="1"/>
    <n v="276"/>
    <x v="3"/>
    <x v="2"/>
  </r>
  <r>
    <s v="O0419"/>
    <x v="21"/>
    <x v="0"/>
    <x v="143"/>
    <s v="05-Jun-25"/>
    <s v="05-Jul-25"/>
    <s v="01-Jul-25"/>
    <n v="15000"/>
    <n v="7500"/>
    <x v="5"/>
    <n v="3"/>
    <n v="26"/>
    <x v="19"/>
    <x v="0"/>
  </r>
  <r>
    <s v="O0420"/>
    <x v="90"/>
    <x v="0"/>
    <x v="247"/>
    <s v="28-Nov-25"/>
    <s v="28-Dec-25"/>
    <s v="07-Dec-25"/>
    <n v="45000"/>
    <n v="45000"/>
    <x v="0"/>
    <n v="3"/>
    <n v="9"/>
    <x v="0"/>
    <x v="0"/>
  </r>
  <r>
    <s v="O0421"/>
    <x v="42"/>
    <x v="0"/>
    <x v="248"/>
    <s v="30-Aug-25"/>
    <s v="29-Sep-25"/>
    <m/>
    <n v="30000"/>
    <n v="0"/>
    <x v="2"/>
    <n v="2"/>
    <n v="289"/>
    <x v="4"/>
    <x v="2"/>
  </r>
  <r>
    <s v="O0422"/>
    <x v="50"/>
    <x v="0"/>
    <x v="249"/>
    <s v="28-Mar-25"/>
    <s v="27-Apr-25"/>
    <s v="20-May-25"/>
    <n v="22000"/>
    <n v="22000"/>
    <x v="1"/>
    <n v="3"/>
    <n v="53"/>
    <x v="0"/>
    <x v="1"/>
  </r>
  <r>
    <s v="O0423"/>
    <x v="98"/>
    <x v="1"/>
    <x v="250"/>
    <s v="11-Jan-25"/>
    <s v="10-Feb-25"/>
    <m/>
    <n v="75000"/>
    <n v="0"/>
    <x v="4"/>
    <n v="3"/>
    <n v="520"/>
    <x v="10"/>
    <x v="2"/>
  </r>
  <r>
    <s v="O0424"/>
    <x v="72"/>
    <x v="0"/>
    <x v="150"/>
    <s v="13-Dec-25"/>
    <s v="12-Jan-26"/>
    <s v="02-Feb-26"/>
    <n v="25000"/>
    <n v="25000"/>
    <x v="1"/>
    <n v="1"/>
    <n v="51"/>
    <x v="0"/>
    <x v="1"/>
  </r>
  <r>
    <s v="O0425"/>
    <x v="15"/>
    <x v="0"/>
    <x v="176"/>
    <s v="10-Aug-25"/>
    <s v="09-Sep-25"/>
    <s v="05-Sep-25"/>
    <n v="75000"/>
    <n v="75000"/>
    <x v="0"/>
    <n v="3"/>
    <n v="26"/>
    <x v="0"/>
    <x v="0"/>
  </r>
  <r>
    <s v="O0426"/>
    <x v="6"/>
    <x v="3"/>
    <x v="115"/>
    <s v="06-Apr-25"/>
    <s v="06-May-25"/>
    <s v="18-Apr-25"/>
    <n v="35000"/>
    <n v="35000"/>
    <x v="0"/>
    <n v="1"/>
    <n v="12"/>
    <x v="0"/>
    <x v="0"/>
  </r>
  <r>
    <s v="O0427"/>
    <x v="82"/>
    <x v="1"/>
    <x v="251"/>
    <s v="16-May-25"/>
    <s v="15-Jun-25"/>
    <s v="29-May-25"/>
    <n v="40000"/>
    <n v="40000"/>
    <x v="0"/>
    <n v="2"/>
    <n v="13"/>
    <x v="0"/>
    <x v="0"/>
  </r>
  <r>
    <s v="O0428"/>
    <x v="50"/>
    <x v="0"/>
    <x v="210"/>
    <s v="07-Jun-25"/>
    <s v="07-Jul-25"/>
    <s v="23-Jun-25"/>
    <n v="5000"/>
    <n v="5000"/>
    <x v="0"/>
    <n v="3"/>
    <n v="16"/>
    <x v="0"/>
    <x v="0"/>
  </r>
  <r>
    <s v="O0429"/>
    <x v="62"/>
    <x v="0"/>
    <x v="252"/>
    <s v="02-May-25"/>
    <s v="01-Jun-25"/>
    <s v="12-May-25"/>
    <n v="15000"/>
    <n v="15000"/>
    <x v="0"/>
    <n v="1"/>
    <n v="10"/>
    <x v="0"/>
    <x v="0"/>
  </r>
  <r>
    <s v="O0430"/>
    <x v="15"/>
    <x v="0"/>
    <x v="120"/>
    <s v="21-Dec-25"/>
    <s v="20-Jan-26"/>
    <s v="10-Feb-26"/>
    <n v="60000"/>
    <n v="60000"/>
    <x v="1"/>
    <n v="3"/>
    <n v="51"/>
    <x v="0"/>
    <x v="1"/>
  </r>
  <r>
    <s v="O0431"/>
    <x v="54"/>
    <x v="0"/>
    <x v="103"/>
    <s v="11-Jul-25"/>
    <s v="10-Aug-25"/>
    <s v="20-Jul-25"/>
    <n v="40000"/>
    <n v="40000"/>
    <x v="0"/>
    <n v="3"/>
    <n v="9"/>
    <x v="0"/>
    <x v="0"/>
  </r>
  <r>
    <s v="O0432"/>
    <x v="78"/>
    <x v="0"/>
    <x v="91"/>
    <s v="22-Mar-25"/>
    <s v="21-Apr-25"/>
    <s v="13-Apr-25"/>
    <n v="100000"/>
    <n v="100000"/>
    <x v="0"/>
    <n v="2"/>
    <n v="22"/>
    <x v="0"/>
    <x v="0"/>
  </r>
  <r>
    <s v="O0433"/>
    <x v="67"/>
    <x v="0"/>
    <x v="144"/>
    <s v="06-Oct-25"/>
    <s v="05-Nov-25"/>
    <m/>
    <n v="30000"/>
    <n v="0"/>
    <x v="4"/>
    <n v="3"/>
    <n v="252"/>
    <x v="4"/>
    <x v="2"/>
  </r>
  <r>
    <s v="O0434"/>
    <x v="13"/>
    <x v="0"/>
    <x v="22"/>
    <s v="03-Nov-25"/>
    <s v="03-Dec-25"/>
    <s v="30-Nov-25"/>
    <n v="45000"/>
    <n v="45000"/>
    <x v="0"/>
    <n v="1"/>
    <n v="27"/>
    <x v="0"/>
    <x v="0"/>
  </r>
  <r>
    <s v="O0435"/>
    <x v="26"/>
    <x v="0"/>
    <x v="89"/>
    <s v="12-Feb-25"/>
    <s v="14-Mar-25"/>
    <s v="06-Mar-25"/>
    <n v="15000"/>
    <n v="15000"/>
    <x v="0"/>
    <n v="3"/>
    <n v="22"/>
    <x v="0"/>
    <x v="0"/>
  </r>
  <r>
    <s v="O0436"/>
    <x v="42"/>
    <x v="0"/>
    <x v="243"/>
    <s v="17-Apr-25"/>
    <s v="17-May-25"/>
    <s v="02-May-25"/>
    <n v="55000"/>
    <n v="55000"/>
    <x v="0"/>
    <n v="3"/>
    <n v="15"/>
    <x v="0"/>
    <x v="0"/>
  </r>
  <r>
    <s v="O0437"/>
    <x v="69"/>
    <x v="2"/>
    <x v="62"/>
    <s v="16-Aug-25"/>
    <s v="15-Sep-25"/>
    <m/>
    <n v="30000"/>
    <n v="0"/>
    <x v="4"/>
    <n v="1"/>
    <n v="303"/>
    <x v="4"/>
    <x v="2"/>
  </r>
  <r>
    <s v="O0438"/>
    <x v="64"/>
    <x v="0"/>
    <x v="183"/>
    <s v="19-Feb-25"/>
    <s v="21-Mar-25"/>
    <m/>
    <n v="22000"/>
    <n v="0"/>
    <x v="2"/>
    <n v="3"/>
    <n v="481"/>
    <x v="21"/>
    <x v="2"/>
  </r>
  <r>
    <s v="O0439"/>
    <x v="90"/>
    <x v="0"/>
    <x v="39"/>
    <s v="12-Mar-25"/>
    <s v="11-Apr-25"/>
    <s v="18-Mar-25"/>
    <n v="18000"/>
    <n v="18000"/>
    <x v="0"/>
    <n v="3"/>
    <n v="6"/>
    <x v="0"/>
    <x v="0"/>
  </r>
  <r>
    <s v="O0440"/>
    <x v="88"/>
    <x v="0"/>
    <x v="14"/>
    <s v="28-Aug-25"/>
    <s v="27-Sep-25"/>
    <m/>
    <n v="60000"/>
    <n v="0"/>
    <x v="4"/>
    <n v="3"/>
    <n v="291"/>
    <x v="3"/>
    <x v="2"/>
  </r>
  <r>
    <s v="O0441"/>
    <x v="99"/>
    <x v="0"/>
    <x v="74"/>
    <s v="12-May-25"/>
    <s v="11-Jun-25"/>
    <s v="13-Jun-25"/>
    <n v="30000"/>
    <n v="30000"/>
    <x v="1"/>
    <n v="1"/>
    <n v="32"/>
    <x v="0"/>
    <x v="1"/>
  </r>
  <r>
    <s v="O0442"/>
    <x v="18"/>
    <x v="0"/>
    <x v="253"/>
    <s v="29-Jun-25"/>
    <s v="29-Jul-25"/>
    <s v="05-Jul-25"/>
    <n v="10000"/>
    <n v="10000"/>
    <x v="0"/>
    <n v="3"/>
    <n v="6"/>
    <x v="0"/>
    <x v="0"/>
  </r>
  <r>
    <s v="O0443"/>
    <x v="38"/>
    <x v="2"/>
    <x v="245"/>
    <s v="31-Aug-25"/>
    <s v="30-Sep-25"/>
    <s v="09-Sep-25"/>
    <n v="60000"/>
    <n v="60000"/>
    <x v="0"/>
    <n v="1"/>
    <n v="9"/>
    <x v="0"/>
    <x v="0"/>
  </r>
  <r>
    <s v="O0444"/>
    <x v="14"/>
    <x v="0"/>
    <x v="247"/>
    <s v="28-Nov-25"/>
    <s v="28-Dec-25"/>
    <s v="15-Dec-25"/>
    <n v="18000"/>
    <n v="18000"/>
    <x v="0"/>
    <n v="3"/>
    <n v="17"/>
    <x v="0"/>
    <x v="0"/>
  </r>
  <r>
    <s v="O0445"/>
    <x v="60"/>
    <x v="0"/>
    <x v="254"/>
    <s v="15-Jul-25"/>
    <s v="14-Aug-25"/>
    <s v="05-Sep-25"/>
    <n v="10000"/>
    <n v="10000"/>
    <x v="1"/>
    <n v="2"/>
    <n v="52"/>
    <x v="0"/>
    <x v="1"/>
  </r>
  <r>
    <s v="O0446"/>
    <x v="25"/>
    <x v="0"/>
    <x v="255"/>
    <s v="13-Mar-25"/>
    <s v="12-Apr-25"/>
    <s v="04-Apr-25"/>
    <n v="100000"/>
    <n v="100000"/>
    <x v="0"/>
    <n v="3"/>
    <n v="22"/>
    <x v="0"/>
    <x v="0"/>
  </r>
  <r>
    <s v="O0447"/>
    <x v="99"/>
    <x v="0"/>
    <x v="256"/>
    <s v="29-Sep-25"/>
    <s v="29-Oct-25"/>
    <m/>
    <n v="40000"/>
    <n v="0"/>
    <x v="2"/>
    <n v="1"/>
    <n v="259"/>
    <x v="16"/>
    <x v="2"/>
  </r>
  <r>
    <s v="O0448"/>
    <x v="22"/>
    <x v="2"/>
    <x v="157"/>
    <s v="14-Jan-25"/>
    <s v="13-Feb-25"/>
    <s v="03-Mar-25"/>
    <n v="22000"/>
    <n v="22000"/>
    <x v="1"/>
    <n v="2"/>
    <n v="48"/>
    <x v="0"/>
    <x v="1"/>
  </r>
  <r>
    <s v="O0449"/>
    <x v="18"/>
    <x v="0"/>
    <x v="31"/>
    <s v="02-Oct-25"/>
    <s v="01-Nov-25"/>
    <s v="18-Oct-25"/>
    <n v="40000"/>
    <n v="40000"/>
    <x v="0"/>
    <n v="2"/>
    <n v="16"/>
    <x v="0"/>
    <x v="0"/>
  </r>
  <r>
    <s v="O0450"/>
    <x v="20"/>
    <x v="2"/>
    <x v="88"/>
    <s v="23-May-25"/>
    <s v="22-Jun-25"/>
    <s v="18-Jun-25"/>
    <n v="15000"/>
    <n v="15000"/>
    <x v="0"/>
    <n v="1"/>
    <n v="26"/>
    <x v="0"/>
    <x v="0"/>
  </r>
  <r>
    <s v="O0451"/>
    <x v="68"/>
    <x v="1"/>
    <x v="182"/>
    <s v="12-Nov-25"/>
    <s v="12-Dec-25"/>
    <s v="20-Nov-25"/>
    <n v="40000"/>
    <n v="40000"/>
    <x v="0"/>
    <n v="1"/>
    <n v="8"/>
    <x v="0"/>
    <x v="0"/>
  </r>
  <r>
    <s v="O0452"/>
    <x v="84"/>
    <x v="0"/>
    <x v="257"/>
    <s v="20-Jan-25"/>
    <s v="19-Feb-25"/>
    <s v="26-Jan-25"/>
    <n v="8000"/>
    <n v="8000"/>
    <x v="0"/>
    <n v="2"/>
    <n v="6"/>
    <x v="0"/>
    <x v="0"/>
  </r>
  <r>
    <s v="O0453"/>
    <x v="15"/>
    <x v="0"/>
    <x v="201"/>
    <s v="14-Aug-25"/>
    <s v="13-Sep-25"/>
    <s v="20-Aug-25"/>
    <n v="55000"/>
    <n v="55000"/>
    <x v="0"/>
    <n v="1"/>
    <n v="6"/>
    <x v="0"/>
    <x v="0"/>
  </r>
  <r>
    <s v="O0454"/>
    <x v="66"/>
    <x v="3"/>
    <x v="149"/>
    <s v="17-Sep-25"/>
    <s v="17-Oct-25"/>
    <m/>
    <n v="40000"/>
    <n v="0"/>
    <x v="2"/>
    <n v="2"/>
    <n v="271"/>
    <x v="16"/>
    <x v="2"/>
  </r>
  <r>
    <s v="O0455"/>
    <x v="7"/>
    <x v="0"/>
    <x v="94"/>
    <s v="24-Oct-25"/>
    <s v="23-Nov-25"/>
    <s v="02-Nov-25"/>
    <n v="75000"/>
    <n v="75000"/>
    <x v="0"/>
    <n v="2"/>
    <n v="9"/>
    <x v="0"/>
    <x v="0"/>
  </r>
  <r>
    <s v="O0456"/>
    <x v="39"/>
    <x v="0"/>
    <x v="173"/>
    <s v="25-Sep-25"/>
    <s v="25-Oct-25"/>
    <s v="01-Oct-25"/>
    <n v="18000"/>
    <n v="18000"/>
    <x v="0"/>
    <n v="1"/>
    <n v="6"/>
    <x v="0"/>
    <x v="0"/>
  </r>
  <r>
    <s v="O0457"/>
    <x v="88"/>
    <x v="0"/>
    <x v="258"/>
    <s v="02-Nov-25"/>
    <s v="02-Dec-25"/>
    <s v="16-Dec-25"/>
    <n v="25000"/>
    <n v="25000"/>
    <x v="1"/>
    <n v="3"/>
    <n v="44"/>
    <x v="0"/>
    <x v="1"/>
  </r>
  <r>
    <s v="O0458"/>
    <x v="88"/>
    <x v="0"/>
    <x v="246"/>
    <s v="12-Sep-25"/>
    <s v="12-Oct-25"/>
    <m/>
    <n v="100000"/>
    <n v="0"/>
    <x v="3"/>
    <n v="1"/>
    <n v="276"/>
    <x v="17"/>
    <x v="2"/>
  </r>
  <r>
    <s v="O0459"/>
    <x v="59"/>
    <x v="0"/>
    <x v="67"/>
    <s v="18-Jul-25"/>
    <s v="17-Aug-25"/>
    <s v="31-Aug-25"/>
    <n v="75000"/>
    <n v="75000"/>
    <x v="1"/>
    <n v="3"/>
    <n v="44"/>
    <x v="0"/>
    <x v="1"/>
  </r>
  <r>
    <s v="O0460"/>
    <x v="20"/>
    <x v="2"/>
    <x v="237"/>
    <s v="05-Jun-25"/>
    <s v="05-Jul-25"/>
    <m/>
    <n v="25000"/>
    <n v="0"/>
    <x v="4"/>
    <n v="2"/>
    <n v="375"/>
    <x v="12"/>
    <x v="2"/>
  </r>
  <r>
    <s v="O0461"/>
    <x v="67"/>
    <x v="0"/>
    <x v="232"/>
    <s v="05-May-25"/>
    <s v="04-Jun-25"/>
    <m/>
    <n v="60000"/>
    <n v="0"/>
    <x v="2"/>
    <n v="1"/>
    <n v="406"/>
    <x v="3"/>
    <x v="2"/>
  </r>
  <r>
    <s v="O0462"/>
    <x v="58"/>
    <x v="2"/>
    <x v="217"/>
    <s v="27-Aug-25"/>
    <s v="26-Sep-25"/>
    <s v="14-Sep-25"/>
    <n v="55000"/>
    <n v="55000"/>
    <x v="0"/>
    <n v="1"/>
    <n v="18"/>
    <x v="0"/>
    <x v="0"/>
  </r>
  <r>
    <s v="O0463"/>
    <x v="88"/>
    <x v="0"/>
    <x v="28"/>
    <s v="30-Sep-25"/>
    <s v="30-Oct-25"/>
    <s v="11-Oct-25"/>
    <n v="12000"/>
    <n v="12000"/>
    <x v="0"/>
    <n v="1"/>
    <n v="11"/>
    <x v="0"/>
    <x v="0"/>
  </r>
  <r>
    <s v="O0464"/>
    <x v="50"/>
    <x v="0"/>
    <x v="13"/>
    <s v="29-Nov-25"/>
    <s v="29-Dec-25"/>
    <m/>
    <n v="22000"/>
    <n v="0"/>
    <x v="2"/>
    <n v="1"/>
    <n v="198"/>
    <x v="21"/>
    <x v="2"/>
  </r>
  <r>
    <s v="O0465"/>
    <x v="71"/>
    <x v="1"/>
    <x v="212"/>
    <s v="05-Oct-25"/>
    <s v="04-Nov-25"/>
    <s v="22-Oct-25"/>
    <n v="30000"/>
    <n v="30000"/>
    <x v="0"/>
    <n v="3"/>
    <n v="17"/>
    <x v="0"/>
    <x v="0"/>
  </r>
  <r>
    <s v="O0466"/>
    <x v="55"/>
    <x v="0"/>
    <x v="206"/>
    <s v="09-Nov-25"/>
    <s v="09-Dec-25"/>
    <m/>
    <n v="8000"/>
    <n v="0"/>
    <x v="2"/>
    <n v="3"/>
    <n v="218"/>
    <x v="5"/>
    <x v="2"/>
  </r>
  <r>
    <s v="O0467"/>
    <x v="53"/>
    <x v="3"/>
    <x v="131"/>
    <s v="31-Oct-25"/>
    <s v="30-Nov-25"/>
    <s v="11-Nov-25"/>
    <n v="55000"/>
    <n v="55000"/>
    <x v="0"/>
    <n v="3"/>
    <n v="11"/>
    <x v="0"/>
    <x v="0"/>
  </r>
  <r>
    <s v="O0468"/>
    <x v="50"/>
    <x v="0"/>
    <x v="164"/>
    <s v="06-Jun-25"/>
    <s v="06-Jul-25"/>
    <s v="18-Jun-25"/>
    <n v="30000"/>
    <n v="22500"/>
    <x v="5"/>
    <n v="1"/>
    <n v="12"/>
    <x v="19"/>
    <x v="0"/>
  </r>
  <r>
    <s v="O0469"/>
    <x v="22"/>
    <x v="2"/>
    <x v="174"/>
    <s v="04-Sep-25"/>
    <s v="04-Oct-25"/>
    <s v="16-Sep-25"/>
    <n v="30000"/>
    <n v="30000"/>
    <x v="0"/>
    <n v="1"/>
    <n v="12"/>
    <x v="0"/>
    <x v="0"/>
  </r>
  <r>
    <s v="O0470"/>
    <x v="77"/>
    <x v="2"/>
    <x v="259"/>
    <s v="16-Jun-25"/>
    <s v="16-Jul-25"/>
    <s v="11-Jul-25"/>
    <n v="12000"/>
    <n v="12000"/>
    <x v="0"/>
    <n v="2"/>
    <n v="25"/>
    <x v="0"/>
    <x v="0"/>
  </r>
  <r>
    <s v="O0471"/>
    <x v="97"/>
    <x v="0"/>
    <x v="29"/>
    <s v="09-Jun-25"/>
    <s v="09-Jul-25"/>
    <s v="29-Jun-25"/>
    <n v="100000"/>
    <n v="100000"/>
    <x v="0"/>
    <n v="2"/>
    <n v="20"/>
    <x v="0"/>
    <x v="0"/>
  </r>
  <r>
    <s v="O0472"/>
    <x v="70"/>
    <x v="3"/>
    <x v="153"/>
    <s v="23-Feb-25"/>
    <s v="25-Mar-25"/>
    <m/>
    <n v="35000"/>
    <n v="0"/>
    <x v="4"/>
    <n v="3"/>
    <n v="477"/>
    <x v="7"/>
    <x v="2"/>
  </r>
  <r>
    <s v="O0473"/>
    <x v="61"/>
    <x v="0"/>
    <x v="137"/>
    <s v="17-Apr-25"/>
    <s v="17-May-25"/>
    <s v="10-May-25"/>
    <n v="75000"/>
    <n v="75000"/>
    <x v="0"/>
    <n v="2"/>
    <n v="23"/>
    <x v="0"/>
    <x v="0"/>
  </r>
  <r>
    <s v="O0474"/>
    <x v="29"/>
    <x v="1"/>
    <x v="241"/>
    <s v="17-Mar-25"/>
    <s v="16-Apr-25"/>
    <s v="05-May-25"/>
    <n v="50000"/>
    <n v="50000"/>
    <x v="1"/>
    <n v="1"/>
    <n v="49"/>
    <x v="0"/>
    <x v="1"/>
  </r>
  <r>
    <s v="O0475"/>
    <x v="48"/>
    <x v="0"/>
    <x v="213"/>
    <s v="04-Aug-25"/>
    <s v="03-Sep-25"/>
    <s v="16-Aug-25"/>
    <n v="20000"/>
    <n v="20000"/>
    <x v="0"/>
    <n v="2"/>
    <n v="12"/>
    <x v="0"/>
    <x v="0"/>
  </r>
  <r>
    <s v="O0476"/>
    <x v="8"/>
    <x v="0"/>
    <x v="260"/>
    <s v="20-Oct-25"/>
    <s v="19-Nov-25"/>
    <s v="11-Dec-25"/>
    <n v="35000"/>
    <n v="35000"/>
    <x v="1"/>
    <n v="1"/>
    <n v="52"/>
    <x v="0"/>
    <x v="1"/>
  </r>
  <r>
    <s v="O0477"/>
    <x v="74"/>
    <x v="0"/>
    <x v="261"/>
    <s v="14-May-25"/>
    <s v="13-Jun-25"/>
    <s v="11-Jun-25"/>
    <n v="35000"/>
    <n v="35000"/>
    <x v="0"/>
    <n v="2"/>
    <n v="28"/>
    <x v="0"/>
    <x v="0"/>
  </r>
  <r>
    <s v="O0478"/>
    <x v="96"/>
    <x v="0"/>
    <x v="262"/>
    <s v="01-Jul-25"/>
    <s v="31-Jul-25"/>
    <m/>
    <n v="20000"/>
    <n v="0"/>
    <x v="4"/>
    <n v="1"/>
    <n v="349"/>
    <x v="14"/>
    <x v="2"/>
  </r>
  <r>
    <s v="O0479"/>
    <x v="64"/>
    <x v="0"/>
    <x v="115"/>
    <s v="08-Apr-25"/>
    <s v="08-May-25"/>
    <s v="15-Apr-25"/>
    <n v="8000"/>
    <n v="8000"/>
    <x v="0"/>
    <n v="3"/>
    <n v="7"/>
    <x v="0"/>
    <x v="0"/>
  </r>
  <r>
    <s v="O0480"/>
    <x v="59"/>
    <x v="0"/>
    <x v="263"/>
    <s v="26-Jan-25"/>
    <s v="25-Feb-25"/>
    <s v="20-Feb-25"/>
    <n v="18000"/>
    <n v="18000"/>
    <x v="0"/>
    <n v="1"/>
    <n v="25"/>
    <x v="0"/>
    <x v="0"/>
  </r>
  <r>
    <s v="O0481"/>
    <x v="11"/>
    <x v="2"/>
    <x v="215"/>
    <s v="07-Feb-25"/>
    <s v="09-Mar-25"/>
    <s v="28-Feb-25"/>
    <n v="20000"/>
    <n v="20000"/>
    <x v="0"/>
    <n v="3"/>
    <n v="21"/>
    <x v="0"/>
    <x v="0"/>
  </r>
  <r>
    <s v="O0482"/>
    <x v="90"/>
    <x v="0"/>
    <x v="34"/>
    <s v="12-Jul-25"/>
    <s v="11-Aug-25"/>
    <s v="12-Aug-25"/>
    <n v="35000"/>
    <n v="35000"/>
    <x v="1"/>
    <n v="1"/>
    <n v="31"/>
    <x v="0"/>
    <x v="1"/>
  </r>
  <r>
    <s v="O0483"/>
    <x v="82"/>
    <x v="1"/>
    <x v="31"/>
    <s v="03-Oct-25"/>
    <s v="02-Nov-25"/>
    <s v="24-Oct-25"/>
    <n v="18000"/>
    <n v="18000"/>
    <x v="0"/>
    <n v="3"/>
    <n v="21"/>
    <x v="0"/>
    <x v="0"/>
  </r>
  <r>
    <s v="O0484"/>
    <x v="86"/>
    <x v="0"/>
    <x v="264"/>
    <s v="24-May-25"/>
    <s v="23-Jun-25"/>
    <s v="20-Jun-25"/>
    <n v="60000"/>
    <n v="60000"/>
    <x v="0"/>
    <n v="3"/>
    <n v="27"/>
    <x v="0"/>
    <x v="0"/>
  </r>
  <r>
    <s v="O0485"/>
    <x v="55"/>
    <x v="0"/>
    <x v="191"/>
    <s v="10-Aug-25"/>
    <s v="09-Sep-25"/>
    <s v="17-Sep-25"/>
    <n v="15000"/>
    <n v="3750"/>
    <x v="5"/>
    <n v="1"/>
    <n v="38"/>
    <x v="27"/>
    <x v="1"/>
  </r>
  <r>
    <s v="O0486"/>
    <x v="85"/>
    <x v="3"/>
    <x v="265"/>
    <s v="12-Apr-25"/>
    <s v="12-May-25"/>
    <s v="28-Apr-25"/>
    <n v="45000"/>
    <n v="45000"/>
    <x v="0"/>
    <n v="3"/>
    <n v="16"/>
    <x v="0"/>
    <x v="0"/>
  </r>
  <r>
    <s v="O0487"/>
    <x v="75"/>
    <x v="0"/>
    <x v="266"/>
    <s v="24-Jul-25"/>
    <s v="23-Aug-25"/>
    <m/>
    <n v="100000"/>
    <n v="0"/>
    <x v="3"/>
    <n v="1"/>
    <n v="326"/>
    <x v="17"/>
    <x v="2"/>
  </r>
  <r>
    <s v="O0488"/>
    <x v="90"/>
    <x v="0"/>
    <x v="154"/>
    <s v="18-Oct-25"/>
    <s v="17-Nov-25"/>
    <s v="25-Oct-25"/>
    <n v="40000"/>
    <n v="40000"/>
    <x v="0"/>
    <n v="1"/>
    <n v="7"/>
    <x v="0"/>
    <x v="0"/>
  </r>
  <r>
    <s v="O0489"/>
    <x v="16"/>
    <x v="0"/>
    <x v="100"/>
    <s v="30-Nov-25"/>
    <s v="30-Dec-25"/>
    <s v="17-Dec-25"/>
    <n v="10000"/>
    <n v="10000"/>
    <x v="0"/>
    <n v="1"/>
    <n v="17"/>
    <x v="0"/>
    <x v="0"/>
  </r>
  <r>
    <s v="O0490"/>
    <x v="77"/>
    <x v="2"/>
    <x v="82"/>
    <s v="02-Sep-25"/>
    <s v="02-Oct-25"/>
    <m/>
    <n v="5000"/>
    <n v="0"/>
    <x v="4"/>
    <n v="1"/>
    <n v="286"/>
    <x v="15"/>
    <x v="2"/>
  </r>
  <r>
    <s v="O0491"/>
    <x v="27"/>
    <x v="2"/>
    <x v="18"/>
    <s v="15-Sep-25"/>
    <s v="15-Oct-25"/>
    <s v="12-Nov-25"/>
    <n v="75000"/>
    <n v="75000"/>
    <x v="1"/>
    <n v="2"/>
    <n v="58"/>
    <x v="0"/>
    <x v="1"/>
  </r>
  <r>
    <s v="O0492"/>
    <x v="6"/>
    <x v="3"/>
    <x v="256"/>
    <s v="29-Sep-25"/>
    <s v="29-Oct-25"/>
    <s v="26-Oct-25"/>
    <n v="40000"/>
    <n v="40000"/>
    <x v="0"/>
    <n v="1"/>
    <n v="27"/>
    <x v="0"/>
    <x v="0"/>
  </r>
  <r>
    <s v="O0493"/>
    <x v="72"/>
    <x v="0"/>
    <x v="82"/>
    <s v="03-Sep-25"/>
    <s v="03-Oct-25"/>
    <s v="25-Sep-25"/>
    <n v="8000"/>
    <n v="6000"/>
    <x v="5"/>
    <n v="2"/>
    <n v="22"/>
    <x v="28"/>
    <x v="0"/>
  </r>
  <r>
    <s v="O0494"/>
    <x v="72"/>
    <x v="0"/>
    <x v="136"/>
    <s v="04-Dec-25"/>
    <s v="03-Jan-26"/>
    <s v="29-Dec-25"/>
    <n v="25000"/>
    <n v="6250"/>
    <x v="5"/>
    <n v="1"/>
    <n v="25"/>
    <x v="29"/>
    <x v="0"/>
  </r>
  <r>
    <s v="O0495"/>
    <x v="40"/>
    <x v="2"/>
    <x v="131"/>
    <s v="29-Oct-25"/>
    <s v="28-Nov-25"/>
    <s v="22-Nov-25"/>
    <n v="12000"/>
    <n v="3000"/>
    <x v="5"/>
    <n v="1"/>
    <n v="24"/>
    <x v="30"/>
    <x v="0"/>
  </r>
  <r>
    <s v="O0496"/>
    <x v="72"/>
    <x v="0"/>
    <x v="232"/>
    <s v="07-May-25"/>
    <s v="06-Jun-25"/>
    <s v="24-Jun-25"/>
    <n v="12000"/>
    <n v="12000"/>
    <x v="1"/>
    <n v="3"/>
    <n v="48"/>
    <x v="0"/>
    <x v="1"/>
  </r>
  <r>
    <s v="O0497"/>
    <x v="50"/>
    <x v="0"/>
    <x v="267"/>
    <s v="19-Jul-25"/>
    <s v="18-Aug-25"/>
    <m/>
    <n v="20000"/>
    <n v="0"/>
    <x v="4"/>
    <n v="3"/>
    <n v="331"/>
    <x v="14"/>
    <x v="2"/>
  </r>
  <r>
    <s v="O0498"/>
    <x v="62"/>
    <x v="0"/>
    <x v="8"/>
    <s v="13-Feb-25"/>
    <s v="15-Mar-25"/>
    <s v="03-Mar-25"/>
    <n v="100000"/>
    <n v="100000"/>
    <x v="0"/>
    <n v="3"/>
    <n v="18"/>
    <x v="0"/>
    <x v="0"/>
  </r>
  <r>
    <s v="O0499"/>
    <x v="11"/>
    <x v="2"/>
    <x v="160"/>
    <s v="10-Feb-25"/>
    <s v="12-Mar-25"/>
    <m/>
    <n v="12000"/>
    <n v="0"/>
    <x v="3"/>
    <n v="2"/>
    <n v="490"/>
    <x v="18"/>
    <x v="2"/>
  </r>
  <r>
    <s v="O0500"/>
    <x v="73"/>
    <x v="2"/>
    <x v="2"/>
    <s v="19-Jan-25"/>
    <s v="18-Feb-25"/>
    <m/>
    <n v="50000"/>
    <n v="0"/>
    <x v="4"/>
    <n v="3"/>
    <n v="512"/>
    <x v="1"/>
    <x v="2"/>
  </r>
  <r>
    <s v="O0501"/>
    <x v="60"/>
    <x v="0"/>
    <x v="268"/>
    <s v="10-Sep-25"/>
    <s v="10-Oct-25"/>
    <s v="23-Oct-25"/>
    <n v="100000"/>
    <n v="100000"/>
    <x v="1"/>
    <n v="1"/>
    <n v="43"/>
    <x v="0"/>
    <x v="1"/>
  </r>
  <r>
    <s v="O0502"/>
    <x v="52"/>
    <x v="0"/>
    <x v="269"/>
    <s v="09-Apr-25"/>
    <s v="09-May-25"/>
    <s v="03-May-25"/>
    <n v="12000"/>
    <n v="12000"/>
    <x v="0"/>
    <n v="3"/>
    <n v="24"/>
    <x v="0"/>
    <x v="0"/>
  </r>
  <r>
    <s v="O0503"/>
    <x v="54"/>
    <x v="0"/>
    <x v="270"/>
    <s v="10-May-25"/>
    <s v="09-Jun-25"/>
    <s v="19-May-25"/>
    <n v="10000"/>
    <n v="10000"/>
    <x v="0"/>
    <n v="3"/>
    <n v="9"/>
    <x v="0"/>
    <x v="0"/>
  </r>
  <r>
    <s v="O0504"/>
    <x v="8"/>
    <x v="0"/>
    <x v="271"/>
    <s v="03-Jan-26"/>
    <s v="02-Feb-26"/>
    <m/>
    <n v="20000"/>
    <n v="0"/>
    <x v="4"/>
    <n v="3"/>
    <n v="163"/>
    <x v="14"/>
    <x v="2"/>
  </r>
  <r>
    <s v="O0505"/>
    <x v="61"/>
    <x v="0"/>
    <x v="272"/>
    <s v="05-Jul-25"/>
    <s v="04-Aug-25"/>
    <s v="19-Jul-25"/>
    <n v="10000"/>
    <n v="10000"/>
    <x v="0"/>
    <n v="1"/>
    <n v="14"/>
    <x v="0"/>
    <x v="0"/>
  </r>
  <r>
    <s v="O0506"/>
    <x v="34"/>
    <x v="0"/>
    <x v="272"/>
    <s v="06-Jul-25"/>
    <s v="05-Aug-25"/>
    <s v="16-Jul-25"/>
    <n v="15000"/>
    <n v="15000"/>
    <x v="0"/>
    <n v="2"/>
    <n v="10"/>
    <x v="0"/>
    <x v="0"/>
  </r>
  <r>
    <s v="O0507"/>
    <x v="52"/>
    <x v="0"/>
    <x v="171"/>
    <s v="21-Aug-25"/>
    <s v="20-Sep-25"/>
    <s v="29-Aug-25"/>
    <n v="55000"/>
    <n v="55000"/>
    <x v="0"/>
    <n v="3"/>
    <n v="8"/>
    <x v="0"/>
    <x v="0"/>
  </r>
  <r>
    <s v="O0508"/>
    <x v="3"/>
    <x v="2"/>
    <x v="195"/>
    <s v="17-Feb-25"/>
    <s v="19-Mar-25"/>
    <s v="13-Mar-25"/>
    <n v="55000"/>
    <n v="55000"/>
    <x v="0"/>
    <n v="2"/>
    <n v="24"/>
    <x v="0"/>
    <x v="0"/>
  </r>
  <r>
    <s v="O0509"/>
    <x v="37"/>
    <x v="2"/>
    <x v="194"/>
    <s v="18-Jun-25"/>
    <s v="18-Jul-25"/>
    <s v="05-Jul-25"/>
    <n v="5000"/>
    <n v="5000"/>
    <x v="0"/>
    <n v="2"/>
    <n v="17"/>
    <x v="0"/>
    <x v="0"/>
  </r>
  <r>
    <s v="O0510"/>
    <x v="91"/>
    <x v="0"/>
    <x v="30"/>
    <s v="16-Feb-25"/>
    <s v="18-Mar-25"/>
    <s v="08-Mar-25"/>
    <n v="55000"/>
    <n v="41250"/>
    <x v="5"/>
    <n v="3"/>
    <n v="20"/>
    <x v="31"/>
    <x v="0"/>
  </r>
  <r>
    <s v="O0511"/>
    <x v="69"/>
    <x v="2"/>
    <x v="273"/>
    <s v="31-Mar-25"/>
    <s v="30-Apr-25"/>
    <s v="13-Apr-25"/>
    <n v="12000"/>
    <n v="12000"/>
    <x v="0"/>
    <n v="3"/>
    <n v="13"/>
    <x v="0"/>
    <x v="0"/>
  </r>
  <r>
    <s v="O0512"/>
    <x v="24"/>
    <x v="1"/>
    <x v="17"/>
    <s v="20-May-25"/>
    <s v="19-Jun-25"/>
    <s v="07-Jun-25"/>
    <n v="20000"/>
    <n v="20000"/>
    <x v="0"/>
    <n v="2"/>
    <n v="18"/>
    <x v="0"/>
    <x v="0"/>
  </r>
  <r>
    <s v="O0513"/>
    <x v="5"/>
    <x v="3"/>
    <x v="170"/>
    <s v="06-Aug-25"/>
    <s v="05-Sep-25"/>
    <m/>
    <n v="35000"/>
    <n v="0"/>
    <x v="4"/>
    <n v="2"/>
    <n v="313"/>
    <x v="7"/>
    <x v="2"/>
  </r>
  <r>
    <s v="O0514"/>
    <x v="26"/>
    <x v="0"/>
    <x v="130"/>
    <s v="10-May-25"/>
    <s v="09-Jun-25"/>
    <s v="16-Jun-25"/>
    <n v="35000"/>
    <n v="35000"/>
    <x v="1"/>
    <n v="1"/>
    <n v="37"/>
    <x v="0"/>
    <x v="1"/>
  </r>
  <r>
    <s v="O0515"/>
    <x v="90"/>
    <x v="0"/>
    <x v="274"/>
    <s v="25-Feb-25"/>
    <s v="27-Mar-25"/>
    <s v="14-Mar-25"/>
    <n v="60000"/>
    <n v="60000"/>
    <x v="0"/>
    <n v="1"/>
    <n v="17"/>
    <x v="0"/>
    <x v="0"/>
  </r>
  <r>
    <s v="O0516"/>
    <x v="50"/>
    <x v="0"/>
    <x v="275"/>
    <s v="16-Nov-25"/>
    <s v="16-Dec-25"/>
    <s v="04-Dec-25"/>
    <n v="75000"/>
    <n v="75000"/>
    <x v="0"/>
    <n v="2"/>
    <n v="18"/>
    <x v="0"/>
    <x v="0"/>
  </r>
  <r>
    <s v="O0517"/>
    <x v="16"/>
    <x v="0"/>
    <x v="51"/>
    <s v="02-Nov-25"/>
    <s v="02-Dec-25"/>
    <s v="29-Nov-25"/>
    <n v="60000"/>
    <n v="60000"/>
    <x v="0"/>
    <n v="1"/>
    <n v="27"/>
    <x v="0"/>
    <x v="0"/>
  </r>
  <r>
    <s v="O0518"/>
    <x v="95"/>
    <x v="1"/>
    <x v="174"/>
    <s v="05-Sep-25"/>
    <s v="05-Oct-25"/>
    <m/>
    <n v="25000"/>
    <n v="0"/>
    <x v="3"/>
    <n v="2"/>
    <n v="283"/>
    <x v="12"/>
    <x v="2"/>
  </r>
  <r>
    <s v="O0519"/>
    <x v="61"/>
    <x v="0"/>
    <x v="119"/>
    <s v="02-Jun-25"/>
    <s v="02-Jul-25"/>
    <m/>
    <n v="35000"/>
    <n v="0"/>
    <x v="3"/>
    <n v="3"/>
    <n v="378"/>
    <x v="7"/>
    <x v="2"/>
  </r>
  <r>
    <s v="O0520"/>
    <x v="37"/>
    <x v="2"/>
    <x v="141"/>
    <s v="07-May-25"/>
    <s v="06-Jun-25"/>
    <s v="24-May-25"/>
    <n v="12000"/>
    <n v="12000"/>
    <x v="0"/>
    <n v="2"/>
    <n v="17"/>
    <x v="0"/>
    <x v="0"/>
  </r>
  <r>
    <s v="O0521"/>
    <x v="26"/>
    <x v="0"/>
    <x v="102"/>
    <s v="03-Mar-25"/>
    <s v="02-Apr-25"/>
    <s v="20-Apr-25"/>
    <n v="30000"/>
    <n v="30000"/>
    <x v="1"/>
    <n v="3"/>
    <n v="48"/>
    <x v="0"/>
    <x v="1"/>
  </r>
  <r>
    <s v="O0522"/>
    <x v="98"/>
    <x v="1"/>
    <x v="276"/>
    <s v="19-Dec-25"/>
    <s v="18-Jan-26"/>
    <m/>
    <n v="5000"/>
    <n v="0"/>
    <x v="3"/>
    <n v="3"/>
    <n v="178"/>
    <x v="15"/>
    <x v="2"/>
  </r>
  <r>
    <s v="O0523"/>
    <x v="70"/>
    <x v="3"/>
    <x v="277"/>
    <s v="30-Dec-25"/>
    <s v="29-Jan-26"/>
    <m/>
    <n v="22000"/>
    <n v="0"/>
    <x v="4"/>
    <n v="1"/>
    <n v="167"/>
    <x v="21"/>
    <x v="2"/>
  </r>
  <r>
    <s v="O0524"/>
    <x v="62"/>
    <x v="0"/>
    <x v="278"/>
    <s v="07-Feb-25"/>
    <s v="09-Mar-25"/>
    <s v="21-Feb-25"/>
    <n v="35000"/>
    <n v="35000"/>
    <x v="0"/>
    <n v="2"/>
    <n v="14"/>
    <x v="0"/>
    <x v="0"/>
  </r>
  <r>
    <s v="O0525"/>
    <x v="85"/>
    <x v="3"/>
    <x v="279"/>
    <s v="13-May-25"/>
    <s v="12-Jun-25"/>
    <m/>
    <n v="20000"/>
    <n v="0"/>
    <x v="4"/>
    <n v="3"/>
    <n v="398"/>
    <x v="14"/>
    <x v="2"/>
  </r>
  <r>
    <s v="O0526"/>
    <x v="96"/>
    <x v="0"/>
    <x v="254"/>
    <s v="14-Jul-25"/>
    <s v="13-Aug-25"/>
    <m/>
    <n v="22000"/>
    <n v="0"/>
    <x v="3"/>
    <n v="1"/>
    <n v="336"/>
    <x v="21"/>
    <x v="2"/>
  </r>
  <r>
    <s v="O0527"/>
    <x v="78"/>
    <x v="0"/>
    <x v="19"/>
    <s v="28-Oct-25"/>
    <s v="27-Nov-25"/>
    <s v="24-Nov-25"/>
    <n v="55000"/>
    <n v="55000"/>
    <x v="0"/>
    <n v="2"/>
    <n v="27"/>
    <x v="0"/>
    <x v="0"/>
  </r>
  <r>
    <s v="O0528"/>
    <x v="68"/>
    <x v="1"/>
    <x v="167"/>
    <s v="07-Oct-25"/>
    <s v="06-Nov-25"/>
    <m/>
    <n v="100000"/>
    <n v="0"/>
    <x v="4"/>
    <n v="1"/>
    <n v="251"/>
    <x v="17"/>
    <x v="2"/>
  </r>
  <r>
    <s v="O0529"/>
    <x v="65"/>
    <x v="0"/>
    <x v="51"/>
    <s v="04-Nov-25"/>
    <s v="04-Dec-25"/>
    <s v="16-Nov-25"/>
    <n v="10000"/>
    <n v="10000"/>
    <x v="0"/>
    <n v="3"/>
    <n v="12"/>
    <x v="0"/>
    <x v="0"/>
  </r>
  <r>
    <s v="O0530"/>
    <x v="39"/>
    <x v="0"/>
    <x v="280"/>
    <s v="09-Dec-25"/>
    <s v="08-Jan-26"/>
    <s v="10-Jan-26"/>
    <n v="25000"/>
    <n v="25000"/>
    <x v="1"/>
    <n v="2"/>
    <n v="32"/>
    <x v="0"/>
    <x v="1"/>
  </r>
  <r>
    <s v="O0531"/>
    <x v="72"/>
    <x v="0"/>
    <x v="158"/>
    <s v="30-Nov-25"/>
    <s v="30-Dec-25"/>
    <m/>
    <n v="12000"/>
    <n v="0"/>
    <x v="3"/>
    <n v="3"/>
    <n v="197"/>
    <x v="18"/>
    <x v="2"/>
  </r>
  <r>
    <s v="O0532"/>
    <x v="50"/>
    <x v="0"/>
    <x v="191"/>
    <s v="10-Aug-25"/>
    <s v="09-Sep-25"/>
    <s v="22-Aug-25"/>
    <n v="5000"/>
    <n v="5000"/>
    <x v="0"/>
    <n v="1"/>
    <n v="12"/>
    <x v="0"/>
    <x v="0"/>
  </r>
  <r>
    <s v="O0533"/>
    <x v="19"/>
    <x v="0"/>
    <x v="223"/>
    <s v="26-Sep-25"/>
    <s v="26-Oct-25"/>
    <s v="13-Oct-25"/>
    <n v="40000"/>
    <n v="40000"/>
    <x v="0"/>
    <n v="3"/>
    <n v="17"/>
    <x v="0"/>
    <x v="0"/>
  </r>
  <r>
    <s v="O0534"/>
    <x v="70"/>
    <x v="3"/>
    <x v="189"/>
    <s v="17-Dec-25"/>
    <s v="16-Jan-26"/>
    <s v="22-Dec-25"/>
    <n v="45000"/>
    <n v="45000"/>
    <x v="0"/>
    <n v="3"/>
    <n v="5"/>
    <x v="0"/>
    <x v="0"/>
  </r>
  <r>
    <s v="O0535"/>
    <x v="78"/>
    <x v="0"/>
    <x v="216"/>
    <s v="25-Feb-25"/>
    <s v="27-Mar-25"/>
    <s v="07-Mar-25"/>
    <n v="18000"/>
    <n v="4500"/>
    <x v="5"/>
    <n v="2"/>
    <n v="10"/>
    <x v="32"/>
    <x v="0"/>
  </r>
  <r>
    <s v="O0536"/>
    <x v="7"/>
    <x v="0"/>
    <x v="281"/>
    <s v="16-Mar-25"/>
    <s v="15-Apr-25"/>
    <s v="27-Mar-25"/>
    <n v="60000"/>
    <n v="60000"/>
    <x v="0"/>
    <n v="2"/>
    <n v="11"/>
    <x v="0"/>
    <x v="0"/>
  </r>
  <r>
    <s v="O0537"/>
    <x v="69"/>
    <x v="2"/>
    <x v="282"/>
    <s v="07-Sep-25"/>
    <s v="07-Oct-25"/>
    <s v="05-Oct-25"/>
    <n v="35000"/>
    <n v="35000"/>
    <x v="0"/>
    <n v="2"/>
    <n v="28"/>
    <x v="0"/>
    <x v="0"/>
  </r>
  <r>
    <s v="O0538"/>
    <x v="80"/>
    <x v="0"/>
    <x v="283"/>
    <s v="22-Aug-25"/>
    <s v="21-Sep-25"/>
    <s v="18-Sep-25"/>
    <n v="10000"/>
    <n v="10000"/>
    <x v="0"/>
    <n v="2"/>
    <n v="27"/>
    <x v="0"/>
    <x v="0"/>
  </r>
  <r>
    <s v="O0539"/>
    <x v="83"/>
    <x v="1"/>
    <x v="157"/>
    <s v="14-Jan-25"/>
    <s v="13-Feb-25"/>
    <s v="19-Feb-25"/>
    <n v="15000"/>
    <n v="15000"/>
    <x v="1"/>
    <n v="2"/>
    <n v="36"/>
    <x v="0"/>
    <x v="1"/>
  </r>
  <r>
    <s v="O0540"/>
    <x v="1"/>
    <x v="0"/>
    <x v="141"/>
    <s v="08-May-25"/>
    <s v="07-Jun-25"/>
    <s v="18-Jun-25"/>
    <n v="25000"/>
    <n v="25000"/>
    <x v="1"/>
    <n v="3"/>
    <n v="41"/>
    <x v="0"/>
    <x v="1"/>
  </r>
  <r>
    <s v="O0541"/>
    <x v="88"/>
    <x v="0"/>
    <x v="176"/>
    <s v="09-Aug-25"/>
    <s v="08-Sep-25"/>
    <m/>
    <n v="40000"/>
    <n v="0"/>
    <x v="4"/>
    <n v="2"/>
    <n v="310"/>
    <x v="16"/>
    <x v="2"/>
  </r>
  <r>
    <s v="O0542"/>
    <x v="79"/>
    <x v="0"/>
    <x v="115"/>
    <s v="06-Apr-25"/>
    <s v="06-May-25"/>
    <s v="04-May-25"/>
    <n v="18000"/>
    <n v="18000"/>
    <x v="0"/>
    <n v="1"/>
    <n v="28"/>
    <x v="0"/>
    <x v="0"/>
  </r>
  <r>
    <s v="O0543"/>
    <x v="44"/>
    <x v="0"/>
    <x v="105"/>
    <s v="14-Apr-25"/>
    <s v="14-May-25"/>
    <s v="11-May-25"/>
    <n v="18000"/>
    <n v="18000"/>
    <x v="0"/>
    <n v="2"/>
    <n v="27"/>
    <x v="0"/>
    <x v="0"/>
  </r>
  <r>
    <s v="O0544"/>
    <x v="35"/>
    <x v="0"/>
    <x v="284"/>
    <s v="18-Apr-25"/>
    <s v="18-May-25"/>
    <s v="13-Jun-25"/>
    <n v="10000"/>
    <n v="10000"/>
    <x v="1"/>
    <n v="2"/>
    <n v="56"/>
    <x v="0"/>
    <x v="1"/>
  </r>
  <r>
    <s v="O0545"/>
    <x v="65"/>
    <x v="0"/>
    <x v="269"/>
    <s v="08-Apr-25"/>
    <s v="08-May-25"/>
    <s v="16-Apr-25"/>
    <n v="75000"/>
    <n v="75000"/>
    <x v="0"/>
    <n v="2"/>
    <n v="8"/>
    <x v="0"/>
    <x v="0"/>
  </r>
  <r>
    <s v="O0546"/>
    <x v="36"/>
    <x v="1"/>
    <x v="54"/>
    <s v="12-Dec-25"/>
    <s v="11-Jan-26"/>
    <m/>
    <n v="45000"/>
    <n v="0"/>
    <x v="3"/>
    <n v="2"/>
    <n v="185"/>
    <x v="22"/>
    <x v="2"/>
  </r>
  <r>
    <s v="O0547"/>
    <x v="61"/>
    <x v="0"/>
    <x v="22"/>
    <s v="04-Nov-25"/>
    <s v="04-Dec-25"/>
    <s v="16-Dec-25"/>
    <n v="12000"/>
    <n v="12000"/>
    <x v="1"/>
    <n v="2"/>
    <n v="42"/>
    <x v="0"/>
    <x v="1"/>
  </r>
  <r>
    <s v="O0548"/>
    <x v="97"/>
    <x v="0"/>
    <x v="55"/>
    <s v="26-Aug-25"/>
    <s v="25-Sep-25"/>
    <m/>
    <n v="25000"/>
    <n v="0"/>
    <x v="2"/>
    <n v="3"/>
    <n v="293"/>
    <x v="12"/>
    <x v="2"/>
  </r>
  <r>
    <s v="O0549"/>
    <x v="76"/>
    <x v="0"/>
    <x v="143"/>
    <s v="05-Jun-25"/>
    <s v="05-Jul-25"/>
    <s v="16-Jul-25"/>
    <n v="10000"/>
    <n v="10000"/>
    <x v="1"/>
    <n v="3"/>
    <n v="41"/>
    <x v="0"/>
    <x v="1"/>
  </r>
  <r>
    <s v="O0550"/>
    <x v="89"/>
    <x v="3"/>
    <x v="123"/>
    <s v="05-May-25"/>
    <s v="04-Jun-25"/>
    <s v="01-Jun-25"/>
    <n v="15000"/>
    <n v="15000"/>
    <x v="0"/>
    <n v="2"/>
    <n v="27"/>
    <x v="0"/>
    <x v="0"/>
  </r>
  <r>
    <s v="O0551"/>
    <x v="58"/>
    <x v="2"/>
    <x v="80"/>
    <s v="21-Sep-25"/>
    <s v="21-Oct-25"/>
    <s v="09-Nov-25"/>
    <n v="18000"/>
    <n v="18000"/>
    <x v="1"/>
    <n v="2"/>
    <n v="49"/>
    <x v="0"/>
    <x v="1"/>
  </r>
  <r>
    <s v="O0552"/>
    <x v="63"/>
    <x v="0"/>
    <x v="285"/>
    <s v="06-Aug-25"/>
    <s v="05-Sep-25"/>
    <s v="28-Sep-25"/>
    <n v="35000"/>
    <n v="35000"/>
    <x v="1"/>
    <n v="1"/>
    <n v="53"/>
    <x v="0"/>
    <x v="1"/>
  </r>
  <r>
    <s v="O0553"/>
    <x v="101"/>
    <x v="0"/>
    <x v="286"/>
    <s v="02-Apr-25"/>
    <s v="02-May-25"/>
    <s v="11-Apr-25"/>
    <n v="25000"/>
    <n v="25000"/>
    <x v="0"/>
    <n v="3"/>
    <n v="9"/>
    <x v="0"/>
    <x v="0"/>
  </r>
  <r>
    <s v="O0554"/>
    <x v="98"/>
    <x v="1"/>
    <x v="198"/>
    <s v="13-Jun-25"/>
    <s v="13-Jul-25"/>
    <m/>
    <n v="8000"/>
    <n v="0"/>
    <x v="2"/>
    <n v="2"/>
    <n v="367"/>
    <x v="5"/>
    <x v="2"/>
  </r>
  <r>
    <s v="O0555"/>
    <x v="21"/>
    <x v="0"/>
    <x v="187"/>
    <s v="07-Sep-25"/>
    <s v="07-Oct-25"/>
    <m/>
    <n v="30000"/>
    <n v="0"/>
    <x v="2"/>
    <n v="1"/>
    <n v="281"/>
    <x v="4"/>
    <x v="2"/>
  </r>
  <r>
    <s v="O0556"/>
    <x v="88"/>
    <x v="0"/>
    <x v="287"/>
    <s v="19-Sep-25"/>
    <s v="19-Oct-25"/>
    <s v="09-Oct-25"/>
    <n v="35000"/>
    <n v="35000"/>
    <x v="0"/>
    <n v="3"/>
    <n v="20"/>
    <x v="0"/>
    <x v="0"/>
  </r>
  <r>
    <s v="O0557"/>
    <x v="68"/>
    <x v="1"/>
    <x v="288"/>
    <s v="01-Jan-26"/>
    <s v="31-Jan-26"/>
    <s v="24-Jan-26"/>
    <n v="35000"/>
    <n v="35000"/>
    <x v="0"/>
    <n v="2"/>
    <n v="23"/>
    <x v="0"/>
    <x v="0"/>
  </r>
  <r>
    <s v="O0558"/>
    <x v="3"/>
    <x v="2"/>
    <x v="36"/>
    <s v="25-Apr-25"/>
    <s v="25-May-25"/>
    <s v="17-May-25"/>
    <n v="8000"/>
    <n v="8000"/>
    <x v="0"/>
    <n v="2"/>
    <n v="22"/>
    <x v="0"/>
    <x v="0"/>
  </r>
  <r>
    <s v="O0559"/>
    <x v="43"/>
    <x v="1"/>
    <x v="273"/>
    <s v="30-Mar-25"/>
    <s v="29-Apr-25"/>
    <s v="07-Apr-25"/>
    <n v="35000"/>
    <n v="35000"/>
    <x v="0"/>
    <n v="2"/>
    <n v="8"/>
    <x v="0"/>
    <x v="0"/>
  </r>
  <r>
    <s v="O0560"/>
    <x v="57"/>
    <x v="0"/>
    <x v="102"/>
    <s v="02-Mar-25"/>
    <s v="01-Apr-25"/>
    <m/>
    <n v="55000"/>
    <n v="0"/>
    <x v="2"/>
    <n v="2"/>
    <n v="470"/>
    <x v="11"/>
    <x v="2"/>
  </r>
  <r>
    <s v="O0561"/>
    <x v="26"/>
    <x v="0"/>
    <x v="92"/>
    <s v="06-Oct-25"/>
    <s v="05-Nov-25"/>
    <s v="24-Oct-25"/>
    <n v="22000"/>
    <n v="22000"/>
    <x v="0"/>
    <n v="1"/>
    <n v="18"/>
    <x v="0"/>
    <x v="0"/>
  </r>
  <r>
    <s v="O0562"/>
    <x v="33"/>
    <x v="3"/>
    <x v="57"/>
    <s v="02-Dec-25"/>
    <s v="01-Jan-26"/>
    <m/>
    <n v="60000"/>
    <n v="0"/>
    <x v="2"/>
    <n v="1"/>
    <n v="195"/>
    <x v="3"/>
    <x v="2"/>
  </r>
  <r>
    <s v="O0563"/>
    <x v="2"/>
    <x v="1"/>
    <x v="121"/>
    <s v="21-Aug-25"/>
    <s v="20-Sep-25"/>
    <m/>
    <n v="100000"/>
    <n v="0"/>
    <x v="2"/>
    <n v="2"/>
    <n v="298"/>
    <x v="17"/>
    <x v="2"/>
  </r>
  <r>
    <s v="O0564"/>
    <x v="71"/>
    <x v="1"/>
    <x v="201"/>
    <s v="14-Aug-25"/>
    <s v="13-Sep-25"/>
    <s v="11-Sep-25"/>
    <n v="40000"/>
    <n v="40000"/>
    <x v="0"/>
    <n v="1"/>
    <n v="28"/>
    <x v="0"/>
    <x v="0"/>
  </r>
  <r>
    <s v="O0565"/>
    <x v="4"/>
    <x v="3"/>
    <x v="15"/>
    <s v="21-Dec-25"/>
    <s v="20-Jan-26"/>
    <s v="30-Dec-25"/>
    <n v="18000"/>
    <n v="18000"/>
    <x v="0"/>
    <n v="2"/>
    <n v="9"/>
    <x v="0"/>
    <x v="0"/>
  </r>
  <r>
    <s v="O0566"/>
    <x v="37"/>
    <x v="2"/>
    <x v="284"/>
    <s v="17-Apr-25"/>
    <s v="17-May-25"/>
    <s v="04-Jun-25"/>
    <n v="8000"/>
    <n v="8000"/>
    <x v="1"/>
    <n v="1"/>
    <n v="48"/>
    <x v="0"/>
    <x v="1"/>
  </r>
  <r>
    <s v="O0567"/>
    <x v="5"/>
    <x v="3"/>
    <x v="22"/>
    <s v="05-Nov-25"/>
    <s v="05-Dec-25"/>
    <s v="02-Dec-25"/>
    <n v="25000"/>
    <n v="25000"/>
    <x v="0"/>
    <n v="3"/>
    <n v="27"/>
    <x v="0"/>
    <x v="0"/>
  </r>
  <r>
    <s v="O0568"/>
    <x v="54"/>
    <x v="0"/>
    <x v="229"/>
    <s v="01-Jun-25"/>
    <s v="01-Jul-25"/>
    <m/>
    <n v="50000"/>
    <n v="0"/>
    <x v="3"/>
    <n v="3"/>
    <n v="379"/>
    <x v="1"/>
    <x v="2"/>
  </r>
  <r>
    <s v="O0569"/>
    <x v="19"/>
    <x v="0"/>
    <x v="189"/>
    <s v="15-Dec-25"/>
    <s v="14-Jan-26"/>
    <m/>
    <n v="20000"/>
    <n v="0"/>
    <x v="3"/>
    <n v="1"/>
    <n v="182"/>
    <x v="14"/>
    <x v="2"/>
  </r>
  <r>
    <s v="O0570"/>
    <x v="37"/>
    <x v="2"/>
    <x v="41"/>
    <s v="31-Jul-25"/>
    <s v="30-Aug-25"/>
    <m/>
    <n v="50000"/>
    <n v="0"/>
    <x v="2"/>
    <n v="1"/>
    <n v="319"/>
    <x v="1"/>
    <x v="2"/>
  </r>
  <r>
    <s v="O0571"/>
    <x v="41"/>
    <x v="0"/>
    <x v="289"/>
    <s v="27-Dec-25"/>
    <s v="26-Jan-26"/>
    <s v="11-Jan-26"/>
    <n v="40000"/>
    <n v="40000"/>
    <x v="0"/>
    <n v="1"/>
    <n v="15"/>
    <x v="0"/>
    <x v="0"/>
  </r>
  <r>
    <s v="O0572"/>
    <x v="17"/>
    <x v="3"/>
    <x v="290"/>
    <s v="15-Dec-25"/>
    <s v="14-Jan-26"/>
    <s v="09-Jan-26"/>
    <n v="35000"/>
    <n v="35000"/>
    <x v="0"/>
    <n v="2"/>
    <n v="25"/>
    <x v="0"/>
    <x v="0"/>
  </r>
  <r>
    <s v="O0573"/>
    <x v="75"/>
    <x v="0"/>
    <x v="21"/>
    <s v="20-Nov-25"/>
    <s v="20-Dec-25"/>
    <s v="15-Dec-25"/>
    <n v="12000"/>
    <n v="12000"/>
    <x v="0"/>
    <n v="2"/>
    <n v="25"/>
    <x v="0"/>
    <x v="0"/>
  </r>
  <r>
    <s v="O0574"/>
    <x v="96"/>
    <x v="0"/>
    <x v="46"/>
    <s v="19-Feb-25"/>
    <s v="21-Mar-25"/>
    <m/>
    <n v="45000"/>
    <n v="0"/>
    <x v="4"/>
    <n v="2"/>
    <n v="481"/>
    <x v="22"/>
    <x v="2"/>
  </r>
  <r>
    <s v="O0575"/>
    <x v="62"/>
    <x v="0"/>
    <x v="103"/>
    <s v="10-Jul-25"/>
    <s v="09-Aug-25"/>
    <s v="15-Jul-25"/>
    <n v="35000"/>
    <n v="35000"/>
    <x v="0"/>
    <n v="2"/>
    <n v="5"/>
    <x v="0"/>
    <x v="0"/>
  </r>
  <r>
    <s v="O0576"/>
    <x v="91"/>
    <x v="0"/>
    <x v="46"/>
    <s v="20-Feb-25"/>
    <s v="22-Mar-25"/>
    <s v="14-Apr-25"/>
    <n v="22000"/>
    <n v="22000"/>
    <x v="1"/>
    <n v="3"/>
    <n v="53"/>
    <x v="0"/>
    <x v="1"/>
  </r>
  <r>
    <s v="O0577"/>
    <x v="97"/>
    <x v="0"/>
    <x v="35"/>
    <s v="05-Feb-25"/>
    <s v="07-Mar-25"/>
    <s v="23-Feb-25"/>
    <n v="12000"/>
    <n v="12000"/>
    <x v="0"/>
    <n v="3"/>
    <n v="18"/>
    <x v="0"/>
    <x v="0"/>
  </r>
  <r>
    <s v="O0578"/>
    <x v="35"/>
    <x v="0"/>
    <x v="246"/>
    <s v="13-Sep-25"/>
    <s v="13-Oct-25"/>
    <m/>
    <n v="75000"/>
    <n v="0"/>
    <x v="2"/>
    <n v="2"/>
    <n v="275"/>
    <x v="10"/>
    <x v="2"/>
  </r>
  <r>
    <s v="O0579"/>
    <x v="74"/>
    <x v="0"/>
    <x v="291"/>
    <s v="11-Oct-25"/>
    <s v="10-Nov-25"/>
    <s v="26-Nov-25"/>
    <n v="20000"/>
    <n v="20000"/>
    <x v="1"/>
    <n v="3"/>
    <n v="46"/>
    <x v="0"/>
    <x v="1"/>
  </r>
  <r>
    <s v="O0580"/>
    <x v="37"/>
    <x v="2"/>
    <x v="60"/>
    <s v="28-Jun-25"/>
    <s v="28-Jul-25"/>
    <s v="23-Jul-25"/>
    <n v="8000"/>
    <n v="8000"/>
    <x v="0"/>
    <n v="3"/>
    <n v="25"/>
    <x v="0"/>
    <x v="0"/>
  </r>
  <r>
    <s v="O0581"/>
    <x v="37"/>
    <x v="2"/>
    <x v="7"/>
    <s v="25-Aug-25"/>
    <s v="24-Sep-25"/>
    <s v="09-Sep-25"/>
    <n v="15000"/>
    <n v="7500"/>
    <x v="5"/>
    <n v="1"/>
    <n v="15"/>
    <x v="19"/>
    <x v="0"/>
  </r>
  <r>
    <s v="O0582"/>
    <x v="90"/>
    <x v="0"/>
    <x v="292"/>
    <s v="03-Jan-25"/>
    <s v="02-Feb-25"/>
    <m/>
    <n v="30000"/>
    <n v="0"/>
    <x v="3"/>
    <n v="2"/>
    <n v="528"/>
    <x v="4"/>
    <x v="2"/>
  </r>
  <r>
    <s v="O0583"/>
    <x v="41"/>
    <x v="0"/>
    <x v="100"/>
    <s v="01-Dec-25"/>
    <s v="31-Dec-25"/>
    <m/>
    <n v="25000"/>
    <n v="0"/>
    <x v="2"/>
    <n v="2"/>
    <n v="196"/>
    <x v="12"/>
    <x v="2"/>
  </r>
  <r>
    <s v="O0584"/>
    <x v="5"/>
    <x v="3"/>
    <x v="46"/>
    <s v="20-Feb-25"/>
    <s v="22-Mar-25"/>
    <s v="08-Mar-25"/>
    <n v="100000"/>
    <n v="100000"/>
    <x v="0"/>
    <n v="3"/>
    <n v="16"/>
    <x v="0"/>
    <x v="0"/>
  </r>
  <r>
    <s v="O0585"/>
    <x v="59"/>
    <x v="0"/>
    <x v="100"/>
    <s v="30-Nov-25"/>
    <s v="30-Dec-25"/>
    <s v="14-Dec-25"/>
    <n v="8000"/>
    <n v="8000"/>
    <x v="0"/>
    <n v="1"/>
    <n v="14"/>
    <x v="0"/>
    <x v="0"/>
  </r>
  <r>
    <s v="O0586"/>
    <x v="86"/>
    <x v="0"/>
    <x v="163"/>
    <s v="26-Dec-25"/>
    <s v="25-Jan-26"/>
    <s v="17-Feb-26"/>
    <n v="18000"/>
    <n v="18000"/>
    <x v="1"/>
    <n v="1"/>
    <n v="53"/>
    <x v="0"/>
    <x v="1"/>
  </r>
  <r>
    <s v="O0587"/>
    <x v="6"/>
    <x v="3"/>
    <x v="292"/>
    <s v="02-Jan-25"/>
    <s v="01-Feb-25"/>
    <s v="25-Jan-25"/>
    <n v="35000"/>
    <n v="35000"/>
    <x v="0"/>
    <n v="1"/>
    <n v="23"/>
    <x v="0"/>
    <x v="0"/>
  </r>
  <r>
    <s v="O0588"/>
    <x v="29"/>
    <x v="1"/>
    <x v="223"/>
    <s v="26-Sep-25"/>
    <s v="26-Oct-25"/>
    <s v="23-Oct-25"/>
    <n v="22000"/>
    <n v="22000"/>
    <x v="0"/>
    <n v="3"/>
    <n v="27"/>
    <x v="0"/>
    <x v="0"/>
  </r>
  <r>
    <s v="O0589"/>
    <x v="74"/>
    <x v="0"/>
    <x v="114"/>
    <s v="05-Mar-25"/>
    <s v="04-Apr-25"/>
    <s v="17-Mar-25"/>
    <n v="20000"/>
    <n v="20000"/>
    <x v="0"/>
    <n v="2"/>
    <n v="12"/>
    <x v="0"/>
    <x v="0"/>
  </r>
  <r>
    <s v="O0590"/>
    <x v="63"/>
    <x v="0"/>
    <x v="195"/>
    <s v="18-Feb-25"/>
    <s v="20-Mar-25"/>
    <s v="06-Mar-25"/>
    <n v="15000"/>
    <n v="15000"/>
    <x v="0"/>
    <n v="3"/>
    <n v="16"/>
    <x v="0"/>
    <x v="0"/>
  </r>
  <r>
    <s v="O0591"/>
    <x v="24"/>
    <x v="1"/>
    <x v="190"/>
    <s v="14-Mar-25"/>
    <s v="13-Apr-25"/>
    <s v="05-May-25"/>
    <n v="20000"/>
    <n v="20000"/>
    <x v="1"/>
    <n v="2"/>
    <n v="52"/>
    <x v="0"/>
    <x v="1"/>
  </r>
  <r>
    <s v="O0592"/>
    <x v="58"/>
    <x v="2"/>
    <x v="278"/>
    <s v="08-Feb-25"/>
    <s v="10-Mar-25"/>
    <s v="16-Mar-25"/>
    <n v="5000"/>
    <n v="5000"/>
    <x v="1"/>
    <n v="3"/>
    <n v="36"/>
    <x v="0"/>
    <x v="1"/>
  </r>
  <r>
    <s v="O0593"/>
    <x v="34"/>
    <x v="0"/>
    <x v="70"/>
    <s v="02-Jul-25"/>
    <s v="01-Aug-25"/>
    <s v="06-Aug-25"/>
    <n v="30000"/>
    <n v="30000"/>
    <x v="1"/>
    <n v="3"/>
    <n v="35"/>
    <x v="0"/>
    <x v="1"/>
  </r>
  <r>
    <s v="O0594"/>
    <x v="32"/>
    <x v="0"/>
    <x v="244"/>
    <s v="15-Nov-25"/>
    <s v="15-Dec-25"/>
    <m/>
    <n v="22000"/>
    <n v="0"/>
    <x v="2"/>
    <n v="3"/>
    <n v="212"/>
    <x v="21"/>
    <x v="2"/>
  </r>
  <r>
    <s v="O0595"/>
    <x v="71"/>
    <x v="1"/>
    <x v="11"/>
    <s v="22-Feb-25"/>
    <s v="24-Mar-25"/>
    <s v="06-Apr-25"/>
    <n v="15000"/>
    <n v="15000"/>
    <x v="1"/>
    <n v="1"/>
    <n v="43"/>
    <x v="0"/>
    <x v="1"/>
  </r>
  <r>
    <s v="O0596"/>
    <x v="51"/>
    <x v="0"/>
    <x v="293"/>
    <s v="10-Aug-25"/>
    <s v="09-Sep-25"/>
    <s v="04-Sep-25"/>
    <n v="20000"/>
    <n v="20000"/>
    <x v="0"/>
    <n v="2"/>
    <n v="25"/>
    <x v="0"/>
    <x v="0"/>
  </r>
  <r>
    <s v="O0597"/>
    <x v="27"/>
    <x v="2"/>
    <x v="43"/>
    <s v="11-May-25"/>
    <s v="10-Jun-25"/>
    <m/>
    <n v="60000"/>
    <n v="0"/>
    <x v="4"/>
    <n v="3"/>
    <n v="400"/>
    <x v="3"/>
    <x v="2"/>
  </r>
  <r>
    <s v="O0598"/>
    <x v="62"/>
    <x v="0"/>
    <x v="98"/>
    <s v="17-Jan-25"/>
    <s v="16-Feb-25"/>
    <s v="10-Feb-25"/>
    <n v="60000"/>
    <n v="60000"/>
    <x v="0"/>
    <n v="3"/>
    <n v="24"/>
    <x v="0"/>
    <x v="0"/>
  </r>
  <r>
    <s v="O0599"/>
    <x v="19"/>
    <x v="0"/>
    <x v="294"/>
    <s v="10-Apr-25"/>
    <s v="10-May-25"/>
    <s v="16-Apr-25"/>
    <n v="12000"/>
    <n v="12000"/>
    <x v="0"/>
    <n v="3"/>
    <n v="6"/>
    <x v="0"/>
    <x v="0"/>
  </r>
  <r>
    <s v="O0600"/>
    <x v="37"/>
    <x v="2"/>
    <x v="123"/>
    <s v="05-May-25"/>
    <s v="04-Jun-25"/>
    <s v="25-May-25"/>
    <n v="12000"/>
    <n v="12000"/>
    <x v="0"/>
    <n v="2"/>
    <n v="20"/>
    <x v="0"/>
    <x v="0"/>
  </r>
  <r>
    <s v="O0601"/>
    <x v="0"/>
    <x v="0"/>
    <x v="51"/>
    <s v="02-Nov-25"/>
    <s v="02-Dec-25"/>
    <s v="07-Nov-25"/>
    <n v="45000"/>
    <n v="22500"/>
    <x v="5"/>
    <n v="1"/>
    <n v="5"/>
    <x v="6"/>
    <x v="0"/>
  </r>
  <r>
    <s v="O0602"/>
    <x v="61"/>
    <x v="0"/>
    <x v="39"/>
    <s v="11-Mar-25"/>
    <s v="10-Apr-25"/>
    <s v="06-Apr-25"/>
    <n v="18000"/>
    <n v="18000"/>
    <x v="0"/>
    <n v="2"/>
    <n v="26"/>
    <x v="0"/>
    <x v="0"/>
  </r>
  <r>
    <s v="O0603"/>
    <x v="49"/>
    <x v="1"/>
    <x v="245"/>
    <s v="31-Aug-25"/>
    <s v="30-Sep-25"/>
    <s v="01-Oct-25"/>
    <n v="5000"/>
    <n v="5000"/>
    <x v="1"/>
    <n v="1"/>
    <n v="31"/>
    <x v="0"/>
    <x v="1"/>
  </r>
  <r>
    <s v="O0604"/>
    <x v="36"/>
    <x v="1"/>
    <x v="295"/>
    <s v="22-Apr-25"/>
    <s v="22-May-25"/>
    <m/>
    <n v="8000"/>
    <n v="0"/>
    <x v="3"/>
    <n v="1"/>
    <n v="419"/>
    <x v="5"/>
    <x v="2"/>
  </r>
  <r>
    <s v="O0605"/>
    <x v="99"/>
    <x v="0"/>
    <x v="76"/>
    <s v="19-Sep-25"/>
    <s v="19-Oct-25"/>
    <m/>
    <n v="45000"/>
    <n v="0"/>
    <x v="4"/>
    <n v="2"/>
    <n v="269"/>
    <x v="22"/>
    <x v="2"/>
  </r>
  <r>
    <s v="O0606"/>
    <x v="18"/>
    <x v="0"/>
    <x v="289"/>
    <s v="28-Dec-25"/>
    <s v="27-Jan-26"/>
    <s v="14-Feb-26"/>
    <n v="10000"/>
    <n v="10000"/>
    <x v="1"/>
    <n v="2"/>
    <n v="48"/>
    <x v="0"/>
    <x v="1"/>
  </r>
  <r>
    <s v="O0607"/>
    <x v="44"/>
    <x v="0"/>
    <x v="91"/>
    <s v="22-Mar-25"/>
    <s v="21-Apr-25"/>
    <s v="12-Apr-25"/>
    <n v="10000"/>
    <n v="10000"/>
    <x v="0"/>
    <n v="2"/>
    <n v="21"/>
    <x v="0"/>
    <x v="0"/>
  </r>
  <r>
    <s v="O0608"/>
    <x v="40"/>
    <x v="2"/>
    <x v="5"/>
    <s v="24-Mar-25"/>
    <s v="23-Apr-25"/>
    <s v="18-Apr-25"/>
    <n v="75000"/>
    <n v="75000"/>
    <x v="0"/>
    <n v="3"/>
    <n v="25"/>
    <x v="0"/>
    <x v="0"/>
  </r>
  <r>
    <s v="O0609"/>
    <x v="23"/>
    <x v="3"/>
    <x v="100"/>
    <s v="02-Dec-25"/>
    <s v="01-Jan-26"/>
    <s v="20-Dec-25"/>
    <n v="10000"/>
    <n v="10000"/>
    <x v="0"/>
    <n v="3"/>
    <n v="18"/>
    <x v="0"/>
    <x v="0"/>
  </r>
  <r>
    <s v="O0610"/>
    <x v="7"/>
    <x v="0"/>
    <x v="123"/>
    <s v="04-May-25"/>
    <s v="03-Jun-25"/>
    <s v="22-May-25"/>
    <n v="40000"/>
    <n v="40000"/>
    <x v="0"/>
    <n v="1"/>
    <n v="18"/>
    <x v="0"/>
    <x v="0"/>
  </r>
  <r>
    <s v="O0611"/>
    <x v="83"/>
    <x v="1"/>
    <x v="25"/>
    <s v="24-Aug-25"/>
    <s v="23-Sep-25"/>
    <s v="21-Sep-25"/>
    <n v="8000"/>
    <n v="8000"/>
    <x v="0"/>
    <n v="3"/>
    <n v="28"/>
    <x v="0"/>
    <x v="0"/>
  </r>
  <r>
    <s v="O0612"/>
    <x v="39"/>
    <x v="0"/>
    <x v="77"/>
    <s v="01-Apr-25"/>
    <s v="01-May-25"/>
    <m/>
    <n v="5000"/>
    <n v="0"/>
    <x v="4"/>
    <n v="1"/>
    <n v="440"/>
    <x v="15"/>
    <x v="2"/>
  </r>
  <r>
    <s v="O0613"/>
    <x v="80"/>
    <x v="0"/>
    <x v="296"/>
    <s v="07-Jan-25"/>
    <s v="06-Feb-25"/>
    <m/>
    <n v="35000"/>
    <n v="0"/>
    <x v="3"/>
    <n v="1"/>
    <n v="524"/>
    <x v="7"/>
    <x v="2"/>
  </r>
  <r>
    <s v="O0614"/>
    <x v="69"/>
    <x v="2"/>
    <x v="297"/>
    <s v="25-Sep-25"/>
    <s v="25-Oct-25"/>
    <s v="04-Oct-25"/>
    <n v="50000"/>
    <n v="50000"/>
    <x v="0"/>
    <n v="3"/>
    <n v="9"/>
    <x v="0"/>
    <x v="0"/>
  </r>
  <r>
    <s v="O0615"/>
    <x v="45"/>
    <x v="0"/>
    <x v="17"/>
    <s v="21-May-25"/>
    <s v="20-Jun-25"/>
    <m/>
    <n v="15000"/>
    <n v="0"/>
    <x v="4"/>
    <n v="3"/>
    <n v="390"/>
    <x v="2"/>
    <x v="2"/>
  </r>
  <r>
    <s v="O0616"/>
    <x v="3"/>
    <x v="2"/>
    <x v="298"/>
    <s v="23-Jun-25"/>
    <s v="23-Jul-25"/>
    <s v="06-Jul-25"/>
    <n v="50000"/>
    <n v="50000"/>
    <x v="0"/>
    <n v="2"/>
    <n v="13"/>
    <x v="0"/>
    <x v="0"/>
  </r>
  <r>
    <s v="O0617"/>
    <x v="46"/>
    <x v="0"/>
    <x v="228"/>
    <s v="26-Oct-25"/>
    <s v="25-Nov-25"/>
    <s v="16-Nov-25"/>
    <n v="10000"/>
    <n v="10000"/>
    <x v="0"/>
    <n v="3"/>
    <n v="21"/>
    <x v="0"/>
    <x v="0"/>
  </r>
  <r>
    <s v="O0618"/>
    <x v="26"/>
    <x v="0"/>
    <x v="16"/>
    <s v="31-Jan-25"/>
    <s v="02-Mar-25"/>
    <s v="13-Feb-25"/>
    <n v="25000"/>
    <n v="25000"/>
    <x v="0"/>
    <n v="2"/>
    <n v="13"/>
    <x v="0"/>
    <x v="0"/>
  </r>
  <r>
    <s v="O0619"/>
    <x v="14"/>
    <x v="0"/>
    <x v="1"/>
    <s v="25-Feb-25"/>
    <s v="27-Mar-25"/>
    <s v="18-Mar-25"/>
    <n v="15000"/>
    <n v="15000"/>
    <x v="0"/>
    <n v="3"/>
    <n v="21"/>
    <x v="0"/>
    <x v="0"/>
  </r>
  <r>
    <s v="O0620"/>
    <x v="82"/>
    <x v="1"/>
    <x v="147"/>
    <s v="24-Jan-25"/>
    <s v="23-Feb-25"/>
    <s v="09-Feb-25"/>
    <n v="40000"/>
    <n v="40000"/>
    <x v="0"/>
    <n v="1"/>
    <n v="16"/>
    <x v="0"/>
    <x v="0"/>
  </r>
  <r>
    <s v="O0621"/>
    <x v="63"/>
    <x v="0"/>
    <x v="203"/>
    <s v="19-Mar-25"/>
    <s v="18-Apr-25"/>
    <s v="18-May-25"/>
    <n v="8000"/>
    <n v="8000"/>
    <x v="1"/>
    <n v="1"/>
    <n v="60"/>
    <x v="0"/>
    <x v="1"/>
  </r>
  <r>
    <s v="O0622"/>
    <x v="46"/>
    <x v="0"/>
    <x v="79"/>
    <s v="04-Dec-25"/>
    <s v="03-Jan-26"/>
    <s v="22-Dec-25"/>
    <n v="40000"/>
    <n v="40000"/>
    <x v="0"/>
    <n v="2"/>
    <n v="18"/>
    <x v="0"/>
    <x v="0"/>
  </r>
  <r>
    <s v="O0623"/>
    <x v="86"/>
    <x v="0"/>
    <x v="299"/>
    <s v="15-Jun-25"/>
    <s v="15-Jul-25"/>
    <s v="19-Jul-25"/>
    <n v="10000"/>
    <n v="10000"/>
    <x v="1"/>
    <n v="2"/>
    <n v="34"/>
    <x v="0"/>
    <x v="1"/>
  </r>
  <r>
    <s v="O0624"/>
    <x v="42"/>
    <x v="0"/>
    <x v="161"/>
    <s v="12-Dec-25"/>
    <s v="11-Jan-26"/>
    <s v="02-Jan-26"/>
    <n v="25000"/>
    <n v="25000"/>
    <x v="0"/>
    <n v="1"/>
    <n v="21"/>
    <x v="0"/>
    <x v="0"/>
  </r>
  <r>
    <s v="O0625"/>
    <x v="10"/>
    <x v="1"/>
    <x v="47"/>
    <s v="26-Jul-25"/>
    <s v="25-Aug-25"/>
    <m/>
    <n v="22000"/>
    <n v="0"/>
    <x v="2"/>
    <n v="1"/>
    <n v="324"/>
    <x v="21"/>
    <x v="2"/>
  </r>
  <r>
    <s v="O0626"/>
    <x v="91"/>
    <x v="0"/>
    <x v="104"/>
    <s v="11-Jun-25"/>
    <s v="11-Jul-25"/>
    <s v="12-Jul-25"/>
    <n v="10000"/>
    <n v="10000"/>
    <x v="1"/>
    <n v="2"/>
    <n v="31"/>
    <x v="0"/>
    <x v="1"/>
  </r>
  <r>
    <s v="O0627"/>
    <x v="87"/>
    <x v="0"/>
    <x v="101"/>
    <s v="15-Apr-25"/>
    <s v="15-May-25"/>
    <m/>
    <n v="60000"/>
    <n v="0"/>
    <x v="4"/>
    <n v="2"/>
    <n v="426"/>
    <x v="3"/>
    <x v="2"/>
  </r>
  <r>
    <s v="O0628"/>
    <x v="17"/>
    <x v="3"/>
    <x v="217"/>
    <s v="28-Aug-25"/>
    <s v="27-Sep-25"/>
    <m/>
    <n v="35000"/>
    <n v="0"/>
    <x v="3"/>
    <n v="2"/>
    <n v="291"/>
    <x v="7"/>
    <x v="2"/>
  </r>
  <r>
    <s v="O0629"/>
    <x v="91"/>
    <x v="0"/>
    <x v="300"/>
    <s v="14-Apr-25"/>
    <s v="14-May-25"/>
    <m/>
    <n v="55000"/>
    <n v="0"/>
    <x v="4"/>
    <n v="3"/>
    <n v="427"/>
    <x v="11"/>
    <x v="2"/>
  </r>
  <r>
    <s v="O0630"/>
    <x v="17"/>
    <x v="3"/>
    <x v="200"/>
    <s v="20-Mar-25"/>
    <s v="19-Apr-25"/>
    <s v="11-Apr-25"/>
    <n v="18000"/>
    <n v="18000"/>
    <x v="0"/>
    <n v="1"/>
    <n v="22"/>
    <x v="0"/>
    <x v="0"/>
  </r>
  <r>
    <s v="O0631"/>
    <x v="51"/>
    <x v="0"/>
    <x v="214"/>
    <s v="25-Nov-25"/>
    <s v="25-Dec-25"/>
    <m/>
    <n v="5000"/>
    <n v="0"/>
    <x v="3"/>
    <n v="3"/>
    <n v="202"/>
    <x v="15"/>
    <x v="2"/>
  </r>
  <r>
    <s v="O0632"/>
    <x v="82"/>
    <x v="1"/>
    <x v="136"/>
    <s v="05-Dec-25"/>
    <s v="04-Jan-26"/>
    <s v="26-Dec-25"/>
    <n v="60000"/>
    <n v="60000"/>
    <x v="0"/>
    <n v="2"/>
    <n v="21"/>
    <x v="0"/>
    <x v="0"/>
  </r>
  <r>
    <s v="O0633"/>
    <x v="85"/>
    <x v="3"/>
    <x v="234"/>
    <s v="05-Aug-25"/>
    <s v="04-Sep-25"/>
    <m/>
    <n v="8000"/>
    <n v="0"/>
    <x v="3"/>
    <n v="2"/>
    <n v="314"/>
    <x v="5"/>
    <x v="2"/>
  </r>
  <r>
    <s v="O0634"/>
    <x v="58"/>
    <x v="2"/>
    <x v="271"/>
    <s v="02-Jan-26"/>
    <s v="01-Feb-26"/>
    <s v="14-Jan-26"/>
    <n v="10000"/>
    <n v="10000"/>
    <x v="0"/>
    <n v="2"/>
    <n v="12"/>
    <x v="0"/>
    <x v="0"/>
  </r>
  <r>
    <s v="O0635"/>
    <x v="69"/>
    <x v="2"/>
    <x v="66"/>
    <s v="03-Aug-25"/>
    <s v="02-Sep-25"/>
    <s v="31-Aug-25"/>
    <n v="100000"/>
    <n v="100000"/>
    <x v="0"/>
    <n v="3"/>
    <n v="28"/>
    <x v="0"/>
    <x v="0"/>
  </r>
  <r>
    <s v="O0636"/>
    <x v="27"/>
    <x v="2"/>
    <x v="113"/>
    <s v="26-Oct-25"/>
    <s v="25-Nov-25"/>
    <s v="12-Nov-25"/>
    <n v="45000"/>
    <n v="45000"/>
    <x v="0"/>
    <n v="1"/>
    <n v="17"/>
    <x v="0"/>
    <x v="0"/>
  </r>
  <r>
    <s v="O0637"/>
    <x v="31"/>
    <x v="0"/>
    <x v="301"/>
    <s v="03-Nov-25"/>
    <s v="03-Dec-25"/>
    <s v="12-Nov-25"/>
    <n v="8000"/>
    <n v="8000"/>
    <x v="0"/>
    <n v="3"/>
    <n v="9"/>
    <x v="0"/>
    <x v="0"/>
  </r>
  <r>
    <s v="O0638"/>
    <x v="85"/>
    <x v="3"/>
    <x v="119"/>
    <s v="01-Jun-25"/>
    <s v="01-Jul-25"/>
    <s v="01-Jul-25"/>
    <n v="75000"/>
    <n v="56250"/>
    <x v="5"/>
    <n v="2"/>
    <n v="30"/>
    <x v="29"/>
    <x v="0"/>
  </r>
  <r>
    <s v="O0639"/>
    <x v="1"/>
    <x v="0"/>
    <x v="162"/>
    <s v="19-Jun-25"/>
    <s v="19-Jul-25"/>
    <s v="26-Jun-25"/>
    <n v="22000"/>
    <n v="22000"/>
    <x v="0"/>
    <n v="2"/>
    <n v="7"/>
    <x v="0"/>
    <x v="0"/>
  </r>
  <r>
    <s v="O0640"/>
    <x v="95"/>
    <x v="1"/>
    <x v="302"/>
    <s v="14-Mar-25"/>
    <s v="13-Apr-25"/>
    <s v="24-Mar-25"/>
    <n v="15000"/>
    <n v="15000"/>
    <x v="0"/>
    <n v="3"/>
    <n v="10"/>
    <x v="0"/>
    <x v="0"/>
  </r>
  <r>
    <s v="O0641"/>
    <x v="60"/>
    <x v="0"/>
    <x v="156"/>
    <s v="29-Aug-25"/>
    <s v="28-Sep-25"/>
    <s v="14-Sep-25"/>
    <n v="18000"/>
    <n v="18000"/>
    <x v="0"/>
    <n v="2"/>
    <n v="16"/>
    <x v="0"/>
    <x v="0"/>
  </r>
  <r>
    <s v="O0642"/>
    <x v="14"/>
    <x v="0"/>
    <x v="122"/>
    <s v="19-Apr-25"/>
    <s v="19-May-25"/>
    <s v="27-Apr-25"/>
    <n v="60000"/>
    <n v="60000"/>
    <x v="0"/>
    <n v="2"/>
    <n v="8"/>
    <x v="0"/>
    <x v="0"/>
  </r>
  <r>
    <s v="O0643"/>
    <x v="71"/>
    <x v="1"/>
    <x v="56"/>
    <s v="25-Mar-25"/>
    <s v="24-Apr-25"/>
    <m/>
    <n v="60000"/>
    <n v="0"/>
    <x v="2"/>
    <n v="3"/>
    <n v="447"/>
    <x v="3"/>
    <x v="2"/>
  </r>
  <r>
    <s v="O0644"/>
    <x v="80"/>
    <x v="0"/>
    <x v="96"/>
    <s v="06-Nov-25"/>
    <s v="06-Dec-25"/>
    <m/>
    <n v="30000"/>
    <n v="0"/>
    <x v="2"/>
    <n v="1"/>
    <n v="221"/>
    <x v="4"/>
    <x v="2"/>
  </r>
  <r>
    <s v="O0645"/>
    <x v="73"/>
    <x v="2"/>
    <x v="303"/>
    <s v="18-Mar-25"/>
    <s v="17-Apr-25"/>
    <m/>
    <n v="40000"/>
    <n v="0"/>
    <x v="3"/>
    <n v="1"/>
    <n v="454"/>
    <x v="16"/>
    <x v="2"/>
  </r>
  <r>
    <s v="O0646"/>
    <x v="99"/>
    <x v="0"/>
    <x v="188"/>
    <s v="21-Sep-25"/>
    <s v="21-Oct-25"/>
    <s v="01-Oct-25"/>
    <n v="60000"/>
    <n v="60000"/>
    <x v="0"/>
    <n v="1"/>
    <n v="10"/>
    <x v="0"/>
    <x v="0"/>
  </r>
  <r>
    <s v="O0647"/>
    <x v="3"/>
    <x v="2"/>
    <x v="304"/>
    <s v="29-Jul-25"/>
    <s v="28-Aug-25"/>
    <m/>
    <n v="55000"/>
    <n v="0"/>
    <x v="4"/>
    <n v="2"/>
    <n v="321"/>
    <x v="11"/>
    <x v="2"/>
  </r>
  <r>
    <s v="O0648"/>
    <x v="17"/>
    <x v="3"/>
    <x v="305"/>
    <s v="20-Feb-25"/>
    <s v="22-Mar-25"/>
    <m/>
    <n v="15000"/>
    <n v="0"/>
    <x v="2"/>
    <n v="2"/>
    <n v="480"/>
    <x v="2"/>
    <x v="2"/>
  </r>
  <r>
    <s v="O0649"/>
    <x v="66"/>
    <x v="3"/>
    <x v="85"/>
    <s v="05-Mar-25"/>
    <s v="04-Apr-25"/>
    <m/>
    <n v="8000"/>
    <n v="0"/>
    <x v="2"/>
    <n v="1"/>
    <n v="467"/>
    <x v="5"/>
    <x v="2"/>
  </r>
  <r>
    <s v="O0650"/>
    <x v="29"/>
    <x v="1"/>
    <x v="169"/>
    <s v="09-Mar-25"/>
    <s v="08-Apr-25"/>
    <s v="03-Apr-25"/>
    <n v="12000"/>
    <n v="12000"/>
    <x v="0"/>
    <n v="1"/>
    <n v="25"/>
    <x v="0"/>
    <x v="0"/>
  </r>
  <r>
    <s v="O0651"/>
    <x v="101"/>
    <x v="0"/>
    <x v="30"/>
    <s v="16-Feb-25"/>
    <s v="18-Mar-25"/>
    <s v="25-Feb-25"/>
    <n v="50000"/>
    <n v="12500"/>
    <x v="5"/>
    <n v="3"/>
    <n v="9"/>
    <x v="23"/>
    <x v="0"/>
  </r>
  <r>
    <s v="O0652"/>
    <x v="38"/>
    <x v="2"/>
    <x v="105"/>
    <s v="15-Apr-25"/>
    <s v="15-May-25"/>
    <m/>
    <n v="22000"/>
    <n v="0"/>
    <x v="2"/>
    <n v="3"/>
    <n v="426"/>
    <x v="21"/>
    <x v="2"/>
  </r>
  <r>
    <s v="O0653"/>
    <x v="71"/>
    <x v="1"/>
    <x v="238"/>
    <s v="20-Jun-25"/>
    <s v="20-Jul-25"/>
    <m/>
    <n v="8000"/>
    <n v="0"/>
    <x v="3"/>
    <n v="1"/>
    <n v="360"/>
    <x v="5"/>
    <x v="2"/>
  </r>
  <r>
    <s v="O0654"/>
    <x v="47"/>
    <x v="2"/>
    <x v="273"/>
    <s v="31-Mar-25"/>
    <s v="30-Apr-25"/>
    <m/>
    <n v="18000"/>
    <n v="0"/>
    <x v="2"/>
    <n v="3"/>
    <n v="441"/>
    <x v="8"/>
    <x v="2"/>
  </r>
  <r>
    <s v="O0655"/>
    <x v="99"/>
    <x v="0"/>
    <x v="306"/>
    <s v="13-Sep-25"/>
    <s v="13-Oct-25"/>
    <s v="19-Oct-25"/>
    <n v="12000"/>
    <n v="12000"/>
    <x v="1"/>
    <n v="1"/>
    <n v="36"/>
    <x v="0"/>
    <x v="1"/>
  </r>
  <r>
    <s v="O0656"/>
    <x v="97"/>
    <x v="0"/>
    <x v="307"/>
    <s v="21-Apr-25"/>
    <s v="21-May-25"/>
    <s v="30-Apr-25"/>
    <n v="50000"/>
    <n v="50000"/>
    <x v="0"/>
    <n v="1"/>
    <n v="9"/>
    <x v="0"/>
    <x v="0"/>
  </r>
  <r>
    <s v="O0657"/>
    <x v="2"/>
    <x v="1"/>
    <x v="182"/>
    <s v="14-Nov-25"/>
    <s v="14-Dec-25"/>
    <s v="30-Dec-25"/>
    <n v="40000"/>
    <n v="40000"/>
    <x v="1"/>
    <n v="3"/>
    <n v="46"/>
    <x v="0"/>
    <x v="1"/>
  </r>
  <r>
    <s v="O0658"/>
    <x v="32"/>
    <x v="0"/>
    <x v="45"/>
    <s v="11-Oct-25"/>
    <s v="10-Nov-25"/>
    <s v="28-Oct-25"/>
    <n v="8000"/>
    <n v="8000"/>
    <x v="0"/>
    <n v="2"/>
    <n v="17"/>
    <x v="0"/>
    <x v="0"/>
  </r>
  <r>
    <s v="O0659"/>
    <x v="66"/>
    <x v="3"/>
    <x v="234"/>
    <s v="04-Aug-25"/>
    <s v="03-Sep-25"/>
    <s v="26-Aug-25"/>
    <n v="45000"/>
    <n v="45000"/>
    <x v="0"/>
    <n v="1"/>
    <n v="22"/>
    <x v="0"/>
    <x v="0"/>
  </r>
  <r>
    <s v="O0660"/>
    <x v="96"/>
    <x v="0"/>
    <x v="99"/>
    <s v="12-Jan-25"/>
    <s v="11-Feb-25"/>
    <s v="01-Feb-25"/>
    <n v="100000"/>
    <n v="100000"/>
    <x v="0"/>
    <n v="2"/>
    <n v="20"/>
    <x v="0"/>
    <x v="0"/>
  </r>
  <r>
    <s v="O0661"/>
    <x v="51"/>
    <x v="0"/>
    <x v="154"/>
    <s v="20-Oct-25"/>
    <s v="19-Nov-25"/>
    <s v="30-Oct-25"/>
    <n v="75000"/>
    <n v="75000"/>
    <x v="0"/>
    <n v="3"/>
    <n v="10"/>
    <x v="0"/>
    <x v="0"/>
  </r>
  <r>
    <s v="O0662"/>
    <x v="3"/>
    <x v="2"/>
    <x v="299"/>
    <s v="16-Jun-25"/>
    <s v="16-Jul-25"/>
    <s v="29-Jun-25"/>
    <n v="40000"/>
    <n v="40000"/>
    <x v="0"/>
    <n v="3"/>
    <n v="13"/>
    <x v="0"/>
    <x v="0"/>
  </r>
  <r>
    <s v="O0663"/>
    <x v="30"/>
    <x v="0"/>
    <x v="245"/>
    <s v="02-Sep-25"/>
    <s v="02-Oct-25"/>
    <m/>
    <n v="100000"/>
    <n v="0"/>
    <x v="4"/>
    <n v="3"/>
    <n v="286"/>
    <x v="17"/>
    <x v="2"/>
  </r>
  <r>
    <s v="O0664"/>
    <x v="11"/>
    <x v="2"/>
    <x v="87"/>
    <s v="24-Mar-25"/>
    <s v="23-Apr-25"/>
    <s v="02-May-25"/>
    <n v="40000"/>
    <n v="40000"/>
    <x v="1"/>
    <n v="1"/>
    <n v="39"/>
    <x v="0"/>
    <x v="1"/>
  </r>
  <r>
    <s v="O0665"/>
    <x v="65"/>
    <x v="0"/>
    <x v="16"/>
    <s v="30-Jan-25"/>
    <s v="01-Mar-25"/>
    <s v="09-Feb-25"/>
    <n v="12000"/>
    <n v="12000"/>
    <x v="0"/>
    <n v="1"/>
    <n v="10"/>
    <x v="0"/>
    <x v="0"/>
  </r>
  <r>
    <s v="O0666"/>
    <x v="49"/>
    <x v="1"/>
    <x v="205"/>
    <s v="05-May-25"/>
    <s v="04-Jun-25"/>
    <m/>
    <n v="75000"/>
    <n v="0"/>
    <x v="2"/>
    <n v="3"/>
    <n v="406"/>
    <x v="10"/>
    <x v="2"/>
  </r>
  <r>
    <s v="O0667"/>
    <x v="80"/>
    <x v="0"/>
    <x v="6"/>
    <s v="06-Jul-25"/>
    <s v="05-Aug-25"/>
    <m/>
    <n v="5000"/>
    <n v="0"/>
    <x v="4"/>
    <n v="3"/>
    <n v="344"/>
    <x v="15"/>
    <x v="2"/>
  </r>
  <r>
    <s v="O0668"/>
    <x v="97"/>
    <x v="0"/>
    <x v="185"/>
    <s v="21-Oct-25"/>
    <s v="20-Nov-25"/>
    <s v="27-Nov-25"/>
    <n v="20000"/>
    <n v="20000"/>
    <x v="1"/>
    <n v="3"/>
    <n v="37"/>
    <x v="0"/>
    <x v="1"/>
  </r>
  <r>
    <s v="O0669"/>
    <x v="92"/>
    <x v="0"/>
    <x v="92"/>
    <s v="07-Oct-25"/>
    <s v="06-Nov-25"/>
    <s v="14-Oct-25"/>
    <n v="25000"/>
    <n v="25000"/>
    <x v="0"/>
    <n v="2"/>
    <n v="7"/>
    <x v="0"/>
    <x v="0"/>
  </r>
  <r>
    <s v="O0670"/>
    <x v="30"/>
    <x v="0"/>
    <x v="308"/>
    <s v="03-May-25"/>
    <s v="02-Jun-25"/>
    <s v="23-May-25"/>
    <n v="40000"/>
    <n v="40000"/>
    <x v="0"/>
    <n v="3"/>
    <n v="20"/>
    <x v="0"/>
    <x v="0"/>
  </r>
  <r>
    <s v="O0671"/>
    <x v="82"/>
    <x v="1"/>
    <x v="238"/>
    <s v="22-Jun-25"/>
    <s v="22-Jul-25"/>
    <m/>
    <n v="30000"/>
    <n v="0"/>
    <x v="2"/>
    <n v="3"/>
    <n v="358"/>
    <x v="4"/>
    <x v="2"/>
  </r>
  <r>
    <s v="O0672"/>
    <x v="74"/>
    <x v="0"/>
    <x v="84"/>
    <s v="03-Apr-25"/>
    <s v="03-May-25"/>
    <s v="26-Apr-25"/>
    <n v="8000"/>
    <n v="8000"/>
    <x v="0"/>
    <n v="2"/>
    <n v="23"/>
    <x v="0"/>
    <x v="0"/>
  </r>
  <r>
    <s v="O0673"/>
    <x v="76"/>
    <x v="0"/>
    <x v="281"/>
    <s v="15-Mar-25"/>
    <s v="14-Apr-25"/>
    <m/>
    <n v="45000"/>
    <n v="0"/>
    <x v="2"/>
    <n v="1"/>
    <n v="457"/>
    <x v="22"/>
    <x v="2"/>
  </r>
  <r>
    <s v="O0674"/>
    <x v="31"/>
    <x v="0"/>
    <x v="34"/>
    <s v="14-Jul-25"/>
    <s v="13-Aug-25"/>
    <s v="24-Aug-25"/>
    <n v="12000"/>
    <n v="12000"/>
    <x v="1"/>
    <n v="3"/>
    <n v="41"/>
    <x v="0"/>
    <x v="1"/>
  </r>
  <r>
    <s v="O0675"/>
    <x v="24"/>
    <x v="1"/>
    <x v="135"/>
    <s v="16-Jun-25"/>
    <s v="16-Jul-25"/>
    <m/>
    <n v="25000"/>
    <n v="0"/>
    <x v="4"/>
    <n v="1"/>
    <n v="364"/>
    <x v="12"/>
    <x v="2"/>
  </r>
  <r>
    <s v="O0676"/>
    <x v="52"/>
    <x v="0"/>
    <x v="27"/>
    <s v="26-Nov-25"/>
    <s v="26-Dec-25"/>
    <s v="18-Dec-25"/>
    <n v="75000"/>
    <n v="75000"/>
    <x v="0"/>
    <n v="2"/>
    <n v="22"/>
    <x v="0"/>
    <x v="0"/>
  </r>
  <r>
    <s v="O0677"/>
    <x v="62"/>
    <x v="0"/>
    <x v="182"/>
    <s v="13-Nov-25"/>
    <s v="13-Dec-25"/>
    <s v="09-Jan-26"/>
    <n v="40000"/>
    <n v="40000"/>
    <x v="1"/>
    <n v="2"/>
    <n v="57"/>
    <x v="0"/>
    <x v="1"/>
  </r>
  <r>
    <s v="O0678"/>
    <x v="49"/>
    <x v="1"/>
    <x v="254"/>
    <s v="15-Jul-25"/>
    <s v="14-Aug-25"/>
    <s v="12-Aug-25"/>
    <n v="60000"/>
    <n v="60000"/>
    <x v="0"/>
    <n v="2"/>
    <n v="28"/>
    <x v="0"/>
    <x v="0"/>
  </r>
  <r>
    <s v="O0679"/>
    <x v="82"/>
    <x v="1"/>
    <x v="289"/>
    <s v="29-Dec-25"/>
    <s v="28-Jan-26"/>
    <m/>
    <n v="12000"/>
    <n v="0"/>
    <x v="2"/>
    <n v="3"/>
    <n v="168"/>
    <x v="18"/>
    <x v="2"/>
  </r>
  <r>
    <s v="O0680"/>
    <x v="14"/>
    <x v="0"/>
    <x v="185"/>
    <s v="19-Oct-25"/>
    <s v="18-Nov-25"/>
    <s v="18-Dec-25"/>
    <n v="25000"/>
    <n v="25000"/>
    <x v="1"/>
    <n v="1"/>
    <n v="60"/>
    <x v="0"/>
    <x v="1"/>
  </r>
  <r>
    <s v="O0681"/>
    <x v="44"/>
    <x v="0"/>
    <x v="172"/>
    <s v="27-Apr-25"/>
    <s v="27-May-25"/>
    <s v="11-May-25"/>
    <n v="15000"/>
    <n v="7500"/>
    <x v="5"/>
    <n v="3"/>
    <n v="14"/>
    <x v="19"/>
    <x v="0"/>
  </r>
  <r>
    <s v="O0682"/>
    <x v="45"/>
    <x v="0"/>
    <x v="89"/>
    <s v="10-Feb-25"/>
    <s v="12-Mar-25"/>
    <m/>
    <n v="100000"/>
    <n v="0"/>
    <x v="3"/>
    <n v="1"/>
    <n v="490"/>
    <x v="17"/>
    <x v="2"/>
  </r>
  <r>
    <s v="O0683"/>
    <x v="28"/>
    <x v="1"/>
    <x v="214"/>
    <s v="23-Nov-25"/>
    <s v="23-Dec-25"/>
    <s v="06-Dec-25"/>
    <n v="75000"/>
    <n v="75000"/>
    <x v="0"/>
    <n v="1"/>
    <n v="13"/>
    <x v="0"/>
    <x v="0"/>
  </r>
  <r>
    <s v="O0684"/>
    <x v="40"/>
    <x v="2"/>
    <x v="43"/>
    <s v="11-May-25"/>
    <s v="10-Jun-25"/>
    <s v="19-May-25"/>
    <n v="10000"/>
    <n v="10000"/>
    <x v="0"/>
    <n v="3"/>
    <n v="8"/>
    <x v="0"/>
    <x v="0"/>
  </r>
  <r>
    <s v="O0685"/>
    <x v="86"/>
    <x v="0"/>
    <x v="292"/>
    <s v="02-Jan-25"/>
    <s v="01-Feb-25"/>
    <s v="20-Jan-25"/>
    <n v="12000"/>
    <n v="12000"/>
    <x v="0"/>
    <n v="1"/>
    <n v="18"/>
    <x v="0"/>
    <x v="0"/>
  </r>
  <r>
    <s v="O0686"/>
    <x v="28"/>
    <x v="1"/>
    <x v="66"/>
    <s v="02-Aug-25"/>
    <s v="01-Sep-25"/>
    <s v="19-Aug-25"/>
    <n v="12000"/>
    <n v="12000"/>
    <x v="0"/>
    <n v="2"/>
    <n v="17"/>
    <x v="0"/>
    <x v="0"/>
  </r>
  <r>
    <s v="O0687"/>
    <x v="6"/>
    <x v="3"/>
    <x v="174"/>
    <s v="06-Sep-25"/>
    <s v="06-Oct-25"/>
    <s v="13-Sep-25"/>
    <n v="40000"/>
    <n v="40000"/>
    <x v="0"/>
    <n v="3"/>
    <n v="7"/>
    <x v="0"/>
    <x v="0"/>
  </r>
  <r>
    <s v="O0688"/>
    <x v="2"/>
    <x v="1"/>
    <x v="112"/>
    <s v="01-Jun-25"/>
    <s v="01-Jul-25"/>
    <s v="09-Jun-25"/>
    <n v="75000"/>
    <n v="75000"/>
    <x v="0"/>
    <n v="1"/>
    <n v="8"/>
    <x v="0"/>
    <x v="0"/>
  </r>
  <r>
    <s v="O0689"/>
    <x v="31"/>
    <x v="0"/>
    <x v="60"/>
    <s v="26-Jun-25"/>
    <s v="26-Jul-25"/>
    <s v="03-Jul-25"/>
    <n v="12000"/>
    <n v="12000"/>
    <x v="0"/>
    <n v="1"/>
    <n v="7"/>
    <x v="0"/>
    <x v="0"/>
  </r>
  <r>
    <s v="O0690"/>
    <x v="77"/>
    <x v="2"/>
    <x v="46"/>
    <s v="19-Feb-25"/>
    <s v="21-Mar-25"/>
    <m/>
    <n v="35000"/>
    <n v="0"/>
    <x v="4"/>
    <n v="2"/>
    <n v="481"/>
    <x v="7"/>
    <x v="2"/>
  </r>
  <r>
    <s v="O0691"/>
    <x v="52"/>
    <x v="0"/>
    <x v="57"/>
    <s v="02-Dec-25"/>
    <s v="01-Jan-26"/>
    <s v="10-Dec-25"/>
    <n v="18000"/>
    <n v="18000"/>
    <x v="0"/>
    <n v="1"/>
    <n v="8"/>
    <x v="0"/>
    <x v="0"/>
  </r>
  <r>
    <s v="O0692"/>
    <x v="50"/>
    <x v="0"/>
    <x v="284"/>
    <s v="17-Apr-25"/>
    <s v="17-May-25"/>
    <s v="10-Jun-25"/>
    <n v="18000"/>
    <n v="18000"/>
    <x v="1"/>
    <n v="1"/>
    <n v="54"/>
    <x v="0"/>
    <x v="1"/>
  </r>
  <r>
    <s v="O0693"/>
    <x v="7"/>
    <x v="0"/>
    <x v="90"/>
    <s v="06-Oct-25"/>
    <s v="05-Nov-25"/>
    <s v="14-Oct-25"/>
    <n v="60000"/>
    <n v="60000"/>
    <x v="0"/>
    <n v="2"/>
    <n v="8"/>
    <x v="0"/>
    <x v="0"/>
  </r>
  <r>
    <s v="O0694"/>
    <x v="47"/>
    <x v="2"/>
    <x v="309"/>
    <s v="24-Jul-25"/>
    <s v="23-Aug-25"/>
    <m/>
    <n v="55000"/>
    <n v="0"/>
    <x v="2"/>
    <n v="3"/>
    <n v="326"/>
    <x v="11"/>
    <x v="2"/>
  </r>
  <r>
    <s v="O0695"/>
    <x v="20"/>
    <x v="2"/>
    <x v="310"/>
    <s v="30-Jan-25"/>
    <s v="01-Mar-25"/>
    <s v="13-Feb-25"/>
    <n v="5000"/>
    <n v="5000"/>
    <x v="0"/>
    <n v="2"/>
    <n v="14"/>
    <x v="0"/>
    <x v="0"/>
  </r>
  <r>
    <s v="O0696"/>
    <x v="39"/>
    <x v="0"/>
    <x v="125"/>
    <s v="20-Nov-25"/>
    <s v="20-Dec-25"/>
    <s v="25-Nov-25"/>
    <n v="35000"/>
    <n v="35000"/>
    <x v="0"/>
    <n v="3"/>
    <n v="5"/>
    <x v="0"/>
    <x v="0"/>
  </r>
  <r>
    <s v="O0697"/>
    <x v="40"/>
    <x v="2"/>
    <x v="311"/>
    <s v="01-Apr-25"/>
    <s v="01-May-25"/>
    <m/>
    <n v="60000"/>
    <n v="0"/>
    <x v="3"/>
    <n v="3"/>
    <n v="440"/>
    <x v="3"/>
    <x v="2"/>
  </r>
  <r>
    <s v="O0698"/>
    <x v="67"/>
    <x v="0"/>
    <x v="312"/>
    <s v="03-Mar-25"/>
    <s v="02-Apr-25"/>
    <s v="29-Mar-25"/>
    <n v="12000"/>
    <n v="12000"/>
    <x v="0"/>
    <n v="2"/>
    <n v="26"/>
    <x v="0"/>
    <x v="0"/>
  </r>
  <r>
    <s v="O0699"/>
    <x v="36"/>
    <x v="1"/>
    <x v="183"/>
    <s v="19-Feb-25"/>
    <s v="21-Mar-25"/>
    <s v="07-Mar-25"/>
    <n v="55000"/>
    <n v="55000"/>
    <x v="0"/>
    <n v="3"/>
    <n v="16"/>
    <x v="0"/>
    <x v="0"/>
  </r>
  <r>
    <s v="O0700"/>
    <x v="8"/>
    <x v="0"/>
    <x v="12"/>
    <s v="10-Jul-25"/>
    <s v="09-Aug-25"/>
    <s v="29-Jul-25"/>
    <n v="22000"/>
    <n v="22000"/>
    <x v="0"/>
    <n v="1"/>
    <n v="19"/>
    <x v="0"/>
    <x v="0"/>
  </r>
  <r>
    <s v="O0701"/>
    <x v="70"/>
    <x v="3"/>
    <x v="313"/>
    <s v="16-May-25"/>
    <s v="15-Jun-25"/>
    <s v="20-Jun-25"/>
    <n v="50000"/>
    <n v="50000"/>
    <x v="1"/>
    <n v="1"/>
    <n v="35"/>
    <x v="0"/>
    <x v="1"/>
  </r>
  <r>
    <s v="O0702"/>
    <x v="22"/>
    <x v="2"/>
    <x v="208"/>
    <s v="26-Dec-25"/>
    <s v="25-Jan-26"/>
    <s v="11-Jan-26"/>
    <n v="15000"/>
    <n v="15000"/>
    <x v="0"/>
    <n v="3"/>
    <n v="16"/>
    <x v="0"/>
    <x v="0"/>
  </r>
  <r>
    <s v="O0703"/>
    <x v="25"/>
    <x v="0"/>
    <x v="66"/>
    <s v="03-Aug-25"/>
    <s v="02-Sep-25"/>
    <s v="29-Sep-25"/>
    <n v="40000"/>
    <n v="40000"/>
    <x v="1"/>
    <n v="3"/>
    <n v="57"/>
    <x v="0"/>
    <x v="1"/>
  </r>
  <r>
    <s v="O0704"/>
    <x v="63"/>
    <x v="0"/>
    <x v="314"/>
    <s v="27-Sep-25"/>
    <s v="27-Oct-25"/>
    <s v="26-Nov-25"/>
    <n v="55000"/>
    <n v="55000"/>
    <x v="1"/>
    <n v="2"/>
    <n v="60"/>
    <x v="0"/>
    <x v="1"/>
  </r>
  <r>
    <s v="O0705"/>
    <x v="67"/>
    <x v="0"/>
    <x v="193"/>
    <s v="22-Oct-25"/>
    <s v="21-Nov-25"/>
    <s v="08-Nov-25"/>
    <n v="35000"/>
    <n v="35000"/>
    <x v="0"/>
    <n v="1"/>
    <n v="17"/>
    <x v="0"/>
    <x v="0"/>
  </r>
  <r>
    <s v="O0706"/>
    <x v="46"/>
    <x v="0"/>
    <x v="257"/>
    <s v="21-Jan-25"/>
    <s v="20-Feb-25"/>
    <m/>
    <n v="45000"/>
    <n v="0"/>
    <x v="2"/>
    <n v="3"/>
    <n v="510"/>
    <x v="22"/>
    <x v="2"/>
  </r>
  <r>
    <s v="O0707"/>
    <x v="55"/>
    <x v="0"/>
    <x v="275"/>
    <s v="15-Nov-25"/>
    <s v="15-Dec-25"/>
    <m/>
    <n v="15000"/>
    <n v="0"/>
    <x v="3"/>
    <n v="1"/>
    <n v="212"/>
    <x v="2"/>
    <x v="2"/>
  </r>
  <r>
    <s v="O0708"/>
    <x v="60"/>
    <x v="0"/>
    <x v="286"/>
    <s v="31-Mar-25"/>
    <s v="30-Apr-25"/>
    <m/>
    <n v="30000"/>
    <n v="0"/>
    <x v="2"/>
    <n v="1"/>
    <n v="441"/>
    <x v="4"/>
    <x v="2"/>
  </r>
  <r>
    <s v="O0709"/>
    <x v="41"/>
    <x v="0"/>
    <x v="199"/>
    <s v="24-Jan-25"/>
    <s v="23-Feb-25"/>
    <m/>
    <n v="10000"/>
    <n v="0"/>
    <x v="3"/>
    <n v="2"/>
    <n v="507"/>
    <x v="9"/>
    <x v="2"/>
  </r>
  <r>
    <s v="O0710"/>
    <x v="52"/>
    <x v="0"/>
    <x v="243"/>
    <s v="17-Apr-25"/>
    <s v="17-May-25"/>
    <m/>
    <n v="20000"/>
    <n v="0"/>
    <x v="2"/>
    <n v="3"/>
    <n v="424"/>
    <x v="14"/>
    <x v="2"/>
  </r>
  <r>
    <s v="O0711"/>
    <x v="36"/>
    <x v="1"/>
    <x v="299"/>
    <s v="16-Jun-25"/>
    <s v="16-Jul-25"/>
    <s v="08-Jul-25"/>
    <n v="10000"/>
    <n v="10000"/>
    <x v="0"/>
    <n v="3"/>
    <n v="22"/>
    <x v="0"/>
    <x v="0"/>
  </r>
  <r>
    <s v="O0712"/>
    <x v="99"/>
    <x v="0"/>
    <x v="63"/>
    <s v="12-Oct-25"/>
    <s v="11-Nov-25"/>
    <s v="17-Oct-25"/>
    <n v="50000"/>
    <n v="50000"/>
    <x v="0"/>
    <n v="2"/>
    <n v="5"/>
    <x v="0"/>
    <x v="0"/>
  </r>
  <r>
    <s v="O0713"/>
    <x v="37"/>
    <x v="2"/>
    <x v="163"/>
    <s v="28-Dec-25"/>
    <s v="27-Jan-26"/>
    <m/>
    <n v="45000"/>
    <n v="0"/>
    <x v="4"/>
    <n v="3"/>
    <n v="169"/>
    <x v="22"/>
    <x v="2"/>
  </r>
  <r>
    <s v="O0714"/>
    <x v="83"/>
    <x v="1"/>
    <x v="142"/>
    <s v="02-Aug-25"/>
    <s v="01-Sep-25"/>
    <s v="20-Sep-25"/>
    <n v="20000"/>
    <n v="20000"/>
    <x v="1"/>
    <n v="1"/>
    <n v="49"/>
    <x v="0"/>
    <x v="1"/>
  </r>
  <r>
    <s v="O0715"/>
    <x v="23"/>
    <x v="3"/>
    <x v="11"/>
    <s v="22-Feb-25"/>
    <s v="24-Mar-25"/>
    <m/>
    <n v="15000"/>
    <n v="0"/>
    <x v="4"/>
    <n v="1"/>
    <n v="478"/>
    <x v="2"/>
    <x v="2"/>
  </r>
  <r>
    <s v="O0716"/>
    <x v="65"/>
    <x v="0"/>
    <x v="253"/>
    <s v="28-Jun-25"/>
    <s v="28-Jul-25"/>
    <s v="18-Jul-25"/>
    <n v="50000"/>
    <n v="50000"/>
    <x v="0"/>
    <n v="2"/>
    <n v="20"/>
    <x v="0"/>
    <x v="0"/>
  </r>
  <r>
    <s v="O0717"/>
    <x v="57"/>
    <x v="0"/>
    <x v="209"/>
    <s v="10-Nov-25"/>
    <s v="10-Dec-25"/>
    <s v="27-Nov-25"/>
    <n v="8000"/>
    <n v="8000"/>
    <x v="0"/>
    <n v="2"/>
    <n v="17"/>
    <x v="0"/>
    <x v="0"/>
  </r>
  <r>
    <s v="O0718"/>
    <x v="58"/>
    <x v="2"/>
    <x v="186"/>
    <s v="16-Nov-25"/>
    <s v="16-Dec-25"/>
    <s v="01-Dec-25"/>
    <n v="12000"/>
    <n v="12000"/>
    <x v="0"/>
    <n v="3"/>
    <n v="15"/>
    <x v="0"/>
    <x v="0"/>
  </r>
  <r>
    <s v="O0719"/>
    <x v="62"/>
    <x v="0"/>
    <x v="205"/>
    <s v="03-May-25"/>
    <s v="02-Jun-25"/>
    <s v="31-May-25"/>
    <n v="35000"/>
    <n v="8750"/>
    <x v="5"/>
    <n v="1"/>
    <n v="28"/>
    <x v="33"/>
    <x v="0"/>
  </r>
  <r>
    <s v="O0720"/>
    <x v="74"/>
    <x v="0"/>
    <x v="164"/>
    <s v="07-Jun-25"/>
    <s v="07-Jul-25"/>
    <m/>
    <n v="50000"/>
    <n v="0"/>
    <x v="2"/>
    <n v="2"/>
    <n v="373"/>
    <x v="1"/>
    <x v="2"/>
  </r>
  <r>
    <s v="O0721"/>
    <x v="80"/>
    <x v="0"/>
    <x v="152"/>
    <s v="18-Dec-25"/>
    <s v="17-Jan-26"/>
    <s v="15-Jan-26"/>
    <n v="40000"/>
    <n v="40000"/>
    <x v="0"/>
    <n v="1"/>
    <n v="28"/>
    <x v="0"/>
    <x v="0"/>
  </r>
  <r>
    <s v="O0722"/>
    <x v="34"/>
    <x v="0"/>
    <x v="259"/>
    <s v="16-Jun-25"/>
    <s v="16-Jul-25"/>
    <s v="19-Jul-25"/>
    <n v="18000"/>
    <n v="18000"/>
    <x v="1"/>
    <n v="2"/>
    <n v="33"/>
    <x v="0"/>
    <x v="1"/>
  </r>
  <r>
    <s v="O0723"/>
    <x v="53"/>
    <x v="3"/>
    <x v="62"/>
    <s v="16-Aug-25"/>
    <s v="15-Sep-25"/>
    <m/>
    <n v="18000"/>
    <n v="0"/>
    <x v="4"/>
    <n v="1"/>
    <n v="303"/>
    <x v="8"/>
    <x v="2"/>
  </r>
  <r>
    <s v="O0724"/>
    <x v="23"/>
    <x v="3"/>
    <x v="297"/>
    <s v="24-Sep-25"/>
    <s v="24-Oct-25"/>
    <s v="04-Oct-25"/>
    <n v="8000"/>
    <n v="8000"/>
    <x v="0"/>
    <n v="2"/>
    <n v="10"/>
    <x v="0"/>
    <x v="0"/>
  </r>
  <r>
    <s v="O0725"/>
    <x v="38"/>
    <x v="2"/>
    <x v="104"/>
    <s v="12-Jun-25"/>
    <s v="12-Jul-25"/>
    <s v="03-Jul-25"/>
    <n v="45000"/>
    <n v="45000"/>
    <x v="0"/>
    <n v="3"/>
    <n v="21"/>
    <x v="0"/>
    <x v="0"/>
  </r>
  <r>
    <s v="O0726"/>
    <x v="72"/>
    <x v="0"/>
    <x v="71"/>
    <s v="16-Jan-25"/>
    <s v="15-Feb-25"/>
    <m/>
    <n v="30000"/>
    <n v="0"/>
    <x v="2"/>
    <n v="1"/>
    <n v="515"/>
    <x v="4"/>
    <x v="2"/>
  </r>
  <r>
    <s v="O0727"/>
    <x v="95"/>
    <x v="1"/>
    <x v="49"/>
    <s v="31-Jan-25"/>
    <s v="02-Mar-25"/>
    <s v="16-Feb-25"/>
    <n v="8000"/>
    <n v="8000"/>
    <x v="0"/>
    <n v="1"/>
    <n v="16"/>
    <x v="0"/>
    <x v="0"/>
  </r>
  <r>
    <s v="O0728"/>
    <x v="76"/>
    <x v="0"/>
    <x v="105"/>
    <s v="14-Apr-25"/>
    <s v="14-May-25"/>
    <m/>
    <n v="100000"/>
    <n v="0"/>
    <x v="2"/>
    <n v="2"/>
    <n v="427"/>
    <x v="17"/>
    <x v="2"/>
  </r>
  <r>
    <s v="O0729"/>
    <x v="42"/>
    <x v="0"/>
    <x v="266"/>
    <s v="26-Jul-25"/>
    <s v="25-Aug-25"/>
    <s v="02-Sep-25"/>
    <n v="15000"/>
    <n v="15000"/>
    <x v="1"/>
    <n v="3"/>
    <n v="38"/>
    <x v="0"/>
    <x v="1"/>
  </r>
  <r>
    <s v="O0730"/>
    <x v="87"/>
    <x v="0"/>
    <x v="107"/>
    <s v="11-Sep-25"/>
    <s v="11-Oct-25"/>
    <s v="01-Oct-25"/>
    <n v="22000"/>
    <n v="22000"/>
    <x v="0"/>
    <n v="3"/>
    <n v="20"/>
    <x v="0"/>
    <x v="0"/>
  </r>
  <r>
    <s v="O0731"/>
    <x v="4"/>
    <x v="3"/>
    <x v="63"/>
    <s v="12-Oct-25"/>
    <s v="11-Nov-25"/>
    <s v="25-Oct-25"/>
    <n v="100000"/>
    <n v="100000"/>
    <x v="0"/>
    <n v="2"/>
    <n v="13"/>
    <x v="0"/>
    <x v="0"/>
  </r>
  <r>
    <s v="O0732"/>
    <x v="45"/>
    <x v="0"/>
    <x v="15"/>
    <s v="20-Dec-25"/>
    <s v="19-Jan-26"/>
    <s v="26-Dec-25"/>
    <n v="60000"/>
    <n v="60000"/>
    <x v="0"/>
    <n v="1"/>
    <n v="6"/>
    <x v="0"/>
    <x v="0"/>
  </r>
  <r>
    <s v="O0733"/>
    <x v="12"/>
    <x v="0"/>
    <x v="146"/>
    <s v="21-Oct-25"/>
    <s v="20-Nov-25"/>
    <s v="12-Dec-25"/>
    <n v="40000"/>
    <n v="40000"/>
    <x v="1"/>
    <n v="1"/>
    <n v="52"/>
    <x v="0"/>
    <x v="1"/>
  </r>
  <r>
    <s v="O0734"/>
    <x v="40"/>
    <x v="2"/>
    <x v="17"/>
    <s v="21-May-25"/>
    <s v="20-Jun-25"/>
    <s v="16-Jun-25"/>
    <n v="18000"/>
    <n v="18000"/>
    <x v="0"/>
    <n v="3"/>
    <n v="26"/>
    <x v="0"/>
    <x v="0"/>
  </r>
  <r>
    <s v="O0735"/>
    <x v="21"/>
    <x v="0"/>
    <x v="177"/>
    <s v="01-Sep-25"/>
    <s v="01-Oct-25"/>
    <s v="02-Oct-25"/>
    <n v="25000"/>
    <n v="25000"/>
    <x v="1"/>
    <n v="1"/>
    <n v="31"/>
    <x v="0"/>
    <x v="1"/>
  </r>
  <r>
    <s v="O0736"/>
    <x v="29"/>
    <x v="1"/>
    <x v="279"/>
    <s v="13-May-25"/>
    <s v="12-Jun-25"/>
    <m/>
    <n v="60000"/>
    <n v="0"/>
    <x v="4"/>
    <n v="3"/>
    <n v="398"/>
    <x v="3"/>
    <x v="2"/>
  </r>
  <r>
    <s v="O0737"/>
    <x v="76"/>
    <x v="0"/>
    <x v="240"/>
    <s v="28-Nov-25"/>
    <s v="28-Dec-25"/>
    <s v="25-Dec-25"/>
    <n v="18000"/>
    <n v="9000"/>
    <x v="5"/>
    <n v="2"/>
    <n v="27"/>
    <x v="30"/>
    <x v="0"/>
  </r>
  <r>
    <s v="O0738"/>
    <x v="81"/>
    <x v="2"/>
    <x v="315"/>
    <s v="24-Apr-25"/>
    <s v="24-May-25"/>
    <s v="20-Jun-25"/>
    <n v="60000"/>
    <n v="60000"/>
    <x v="1"/>
    <n v="2"/>
    <n v="57"/>
    <x v="0"/>
    <x v="1"/>
  </r>
  <r>
    <s v="O0739"/>
    <x v="9"/>
    <x v="2"/>
    <x v="266"/>
    <s v="26-Jul-25"/>
    <s v="25-Aug-25"/>
    <s v="21-Aug-25"/>
    <n v="15000"/>
    <n v="15000"/>
    <x v="0"/>
    <n v="3"/>
    <n v="26"/>
    <x v="0"/>
    <x v="0"/>
  </r>
  <r>
    <s v="O0740"/>
    <x v="87"/>
    <x v="0"/>
    <x v="3"/>
    <s v="18-Oct-25"/>
    <s v="17-Nov-25"/>
    <s v="26-Oct-25"/>
    <n v="60000"/>
    <n v="60000"/>
    <x v="0"/>
    <n v="3"/>
    <n v="8"/>
    <x v="0"/>
    <x v="0"/>
  </r>
  <r>
    <s v="O0741"/>
    <x v="78"/>
    <x v="0"/>
    <x v="35"/>
    <s v="04-Feb-25"/>
    <s v="06-Mar-25"/>
    <s v="03-Apr-25"/>
    <n v="50000"/>
    <n v="50000"/>
    <x v="1"/>
    <n v="2"/>
    <n v="58"/>
    <x v="0"/>
    <x v="1"/>
  </r>
  <r>
    <s v="O0742"/>
    <x v="5"/>
    <x v="3"/>
    <x v="251"/>
    <s v="17-May-25"/>
    <s v="16-Jun-25"/>
    <s v="07-Jun-25"/>
    <n v="60000"/>
    <n v="60000"/>
    <x v="0"/>
    <n v="3"/>
    <n v="21"/>
    <x v="0"/>
    <x v="0"/>
  </r>
  <r>
    <s v="O0743"/>
    <x v="23"/>
    <x v="3"/>
    <x v="232"/>
    <s v="05-May-25"/>
    <s v="04-Jun-25"/>
    <s v="26-Jun-25"/>
    <n v="12000"/>
    <n v="12000"/>
    <x v="1"/>
    <n v="1"/>
    <n v="52"/>
    <x v="0"/>
    <x v="1"/>
  </r>
  <r>
    <s v="O0744"/>
    <x v="66"/>
    <x v="3"/>
    <x v="98"/>
    <s v="17-Jan-25"/>
    <s v="16-Feb-25"/>
    <m/>
    <n v="35000"/>
    <n v="0"/>
    <x v="3"/>
    <n v="3"/>
    <n v="514"/>
    <x v="7"/>
    <x v="2"/>
  </r>
  <r>
    <s v="O0745"/>
    <x v="36"/>
    <x v="1"/>
    <x v="234"/>
    <s v="05-Aug-25"/>
    <s v="04-Sep-25"/>
    <m/>
    <n v="12000"/>
    <n v="0"/>
    <x v="4"/>
    <n v="2"/>
    <n v="314"/>
    <x v="18"/>
    <x v="2"/>
  </r>
  <r>
    <s v="O0746"/>
    <x v="48"/>
    <x v="0"/>
    <x v="277"/>
    <s v="01-Jan-26"/>
    <s v="31-Jan-26"/>
    <s v="28-Jan-26"/>
    <n v="30000"/>
    <n v="30000"/>
    <x v="0"/>
    <n v="3"/>
    <n v="27"/>
    <x v="0"/>
    <x v="0"/>
  </r>
  <r>
    <s v="O0747"/>
    <x v="29"/>
    <x v="1"/>
    <x v="120"/>
    <s v="21-Dec-25"/>
    <s v="20-Jan-26"/>
    <s v="17-Jan-26"/>
    <n v="35000"/>
    <n v="26250"/>
    <x v="5"/>
    <n v="3"/>
    <n v="27"/>
    <x v="34"/>
    <x v="0"/>
  </r>
  <r>
    <s v="O0748"/>
    <x v="24"/>
    <x v="1"/>
    <x v="311"/>
    <s v="01-Apr-25"/>
    <s v="01-May-25"/>
    <s v="09-Apr-25"/>
    <n v="55000"/>
    <n v="55000"/>
    <x v="0"/>
    <n v="3"/>
    <n v="8"/>
    <x v="0"/>
    <x v="0"/>
  </r>
  <r>
    <s v="O0749"/>
    <x v="67"/>
    <x v="0"/>
    <x v="316"/>
    <s v="10-Mar-25"/>
    <s v="09-Apr-25"/>
    <m/>
    <n v="50000"/>
    <n v="0"/>
    <x v="4"/>
    <n v="3"/>
    <n v="462"/>
    <x v="1"/>
    <x v="2"/>
  </r>
  <r>
    <s v="O0750"/>
    <x v="88"/>
    <x v="0"/>
    <x v="44"/>
    <s v="07-Apr-25"/>
    <s v="07-May-25"/>
    <s v="15-May-25"/>
    <n v="75000"/>
    <n v="75000"/>
    <x v="1"/>
    <n v="3"/>
    <n v="38"/>
    <x v="0"/>
    <x v="1"/>
  </r>
  <r>
    <s v="O0751"/>
    <x v="97"/>
    <x v="0"/>
    <x v="226"/>
    <s v="28-Apr-25"/>
    <s v="28-May-25"/>
    <s v="13-May-25"/>
    <n v="60000"/>
    <n v="60000"/>
    <x v="0"/>
    <n v="3"/>
    <n v="15"/>
    <x v="0"/>
    <x v="0"/>
  </r>
  <r>
    <s v="O0752"/>
    <x v="87"/>
    <x v="0"/>
    <x v="251"/>
    <s v="17-May-25"/>
    <s v="16-Jun-25"/>
    <s v="25-May-25"/>
    <n v="60000"/>
    <n v="60000"/>
    <x v="0"/>
    <n v="3"/>
    <n v="8"/>
    <x v="0"/>
    <x v="0"/>
  </r>
  <r>
    <s v="O0753"/>
    <x v="67"/>
    <x v="0"/>
    <x v="310"/>
    <s v="31-Jan-25"/>
    <s v="02-Mar-25"/>
    <s v="11-Feb-25"/>
    <n v="10000"/>
    <n v="10000"/>
    <x v="0"/>
    <n v="3"/>
    <n v="11"/>
    <x v="0"/>
    <x v="0"/>
  </r>
  <r>
    <s v="O0754"/>
    <x v="42"/>
    <x v="0"/>
    <x v="114"/>
    <s v="06-Mar-25"/>
    <s v="05-Apr-25"/>
    <s v="24-Mar-25"/>
    <n v="12000"/>
    <n v="12000"/>
    <x v="0"/>
    <n v="3"/>
    <n v="18"/>
    <x v="0"/>
    <x v="0"/>
  </r>
  <r>
    <s v="O0755"/>
    <x v="47"/>
    <x v="2"/>
    <x v="200"/>
    <s v="20-Mar-25"/>
    <s v="19-Apr-25"/>
    <s v="12-Apr-25"/>
    <n v="30000"/>
    <n v="30000"/>
    <x v="0"/>
    <n v="1"/>
    <n v="23"/>
    <x v="0"/>
    <x v="0"/>
  </r>
  <r>
    <s v="O0756"/>
    <x v="90"/>
    <x v="0"/>
    <x v="317"/>
    <s v="17-Mar-25"/>
    <s v="16-Apr-25"/>
    <m/>
    <n v="25000"/>
    <n v="0"/>
    <x v="4"/>
    <n v="2"/>
    <n v="455"/>
    <x v="12"/>
    <x v="2"/>
  </r>
  <r>
    <s v="O0757"/>
    <x v="64"/>
    <x v="0"/>
    <x v="235"/>
    <s v="23-Jun-25"/>
    <s v="23-Jul-25"/>
    <s v="29-Jun-25"/>
    <n v="25000"/>
    <n v="25000"/>
    <x v="0"/>
    <n v="3"/>
    <n v="6"/>
    <x v="0"/>
    <x v="0"/>
  </r>
  <r>
    <s v="O0758"/>
    <x v="82"/>
    <x v="1"/>
    <x v="283"/>
    <s v="22-Aug-25"/>
    <s v="21-Sep-25"/>
    <m/>
    <n v="30000"/>
    <n v="0"/>
    <x v="4"/>
    <n v="2"/>
    <n v="297"/>
    <x v="4"/>
    <x v="2"/>
  </r>
  <r>
    <s v="O0759"/>
    <x v="28"/>
    <x v="1"/>
    <x v="228"/>
    <s v="24-Oct-25"/>
    <s v="23-Nov-25"/>
    <m/>
    <n v="35000"/>
    <n v="0"/>
    <x v="4"/>
    <n v="1"/>
    <n v="234"/>
    <x v="7"/>
    <x v="2"/>
  </r>
  <r>
    <s v="O0760"/>
    <x v="91"/>
    <x v="0"/>
    <x v="195"/>
    <s v="16-Feb-25"/>
    <s v="18-Mar-25"/>
    <s v="31-Mar-25"/>
    <n v="18000"/>
    <n v="18000"/>
    <x v="1"/>
    <n v="1"/>
    <n v="43"/>
    <x v="0"/>
    <x v="1"/>
  </r>
  <r>
    <s v="O0761"/>
    <x v="18"/>
    <x v="0"/>
    <x v="318"/>
    <s v="04-Sep-25"/>
    <s v="04-Oct-25"/>
    <s v="15-Sep-25"/>
    <n v="5000"/>
    <n v="5000"/>
    <x v="0"/>
    <n v="2"/>
    <n v="11"/>
    <x v="0"/>
    <x v="0"/>
  </r>
  <r>
    <s v="O0762"/>
    <x v="7"/>
    <x v="0"/>
    <x v="34"/>
    <s v="12-Jul-25"/>
    <s v="11-Aug-25"/>
    <m/>
    <n v="75000"/>
    <n v="0"/>
    <x v="4"/>
    <n v="1"/>
    <n v="338"/>
    <x v="10"/>
    <x v="2"/>
  </r>
  <r>
    <s v="O0763"/>
    <x v="100"/>
    <x v="2"/>
    <x v="40"/>
    <s v="09-Apr-25"/>
    <s v="09-May-25"/>
    <s v="17-May-25"/>
    <n v="5000"/>
    <n v="5000"/>
    <x v="1"/>
    <n v="1"/>
    <n v="38"/>
    <x v="0"/>
    <x v="1"/>
  </r>
  <r>
    <s v="O0764"/>
    <x v="29"/>
    <x v="1"/>
    <x v="319"/>
    <s v="24-Dec-25"/>
    <s v="23-Jan-26"/>
    <s v="10-Jan-26"/>
    <n v="60000"/>
    <n v="60000"/>
    <x v="0"/>
    <n v="2"/>
    <n v="17"/>
    <x v="0"/>
    <x v="0"/>
  </r>
  <r>
    <s v="O0765"/>
    <x v="42"/>
    <x v="0"/>
    <x v="116"/>
    <s v="31-Oct-25"/>
    <s v="30-Nov-25"/>
    <s v="06-Nov-25"/>
    <n v="25000"/>
    <n v="25000"/>
    <x v="0"/>
    <n v="2"/>
    <n v="6"/>
    <x v="0"/>
    <x v="0"/>
  </r>
  <r>
    <s v="O0766"/>
    <x v="24"/>
    <x v="1"/>
    <x v="229"/>
    <s v="31-May-25"/>
    <s v="30-Jun-25"/>
    <s v="11-Jul-25"/>
    <n v="45000"/>
    <n v="45000"/>
    <x v="1"/>
    <n v="2"/>
    <n v="41"/>
    <x v="0"/>
    <x v="1"/>
  </r>
  <r>
    <s v="O0767"/>
    <x v="52"/>
    <x v="0"/>
    <x v="120"/>
    <s v="19-Dec-25"/>
    <s v="18-Jan-26"/>
    <m/>
    <n v="75000"/>
    <n v="0"/>
    <x v="3"/>
    <n v="1"/>
    <n v="178"/>
    <x v="10"/>
    <x v="2"/>
  </r>
  <r>
    <s v="O0768"/>
    <x v="64"/>
    <x v="0"/>
    <x v="6"/>
    <s v="04-Jul-25"/>
    <s v="03-Aug-25"/>
    <m/>
    <n v="25000"/>
    <n v="0"/>
    <x v="3"/>
    <n v="1"/>
    <n v="346"/>
    <x v="12"/>
    <x v="2"/>
  </r>
  <r>
    <s v="O0769"/>
    <x v="15"/>
    <x v="0"/>
    <x v="99"/>
    <s v="11-Jan-25"/>
    <s v="10-Feb-25"/>
    <m/>
    <n v="40000"/>
    <n v="0"/>
    <x v="4"/>
    <n v="1"/>
    <n v="520"/>
    <x v="16"/>
    <x v="2"/>
  </r>
  <r>
    <s v="O0770"/>
    <x v="41"/>
    <x v="0"/>
    <x v="180"/>
    <s v="22-Apr-25"/>
    <s v="22-May-25"/>
    <s v="28-May-25"/>
    <n v="5000"/>
    <n v="5000"/>
    <x v="1"/>
    <n v="3"/>
    <n v="36"/>
    <x v="0"/>
    <x v="1"/>
  </r>
  <r>
    <s v="O0771"/>
    <x v="89"/>
    <x v="3"/>
    <x v="320"/>
    <s v="10-Jul-25"/>
    <s v="09-Aug-25"/>
    <s v="04-Aug-25"/>
    <n v="8000"/>
    <n v="8000"/>
    <x v="0"/>
    <n v="3"/>
    <n v="25"/>
    <x v="0"/>
    <x v="0"/>
  </r>
  <r>
    <s v="O0772"/>
    <x v="81"/>
    <x v="2"/>
    <x v="118"/>
    <s v="04-Oct-25"/>
    <s v="03-Nov-25"/>
    <s v="05-Nov-25"/>
    <n v="8000"/>
    <n v="8000"/>
    <x v="1"/>
    <n v="3"/>
    <n v="32"/>
    <x v="0"/>
    <x v="1"/>
  </r>
  <r>
    <s v="O0773"/>
    <x v="39"/>
    <x v="0"/>
    <x v="72"/>
    <s v="28-Feb-25"/>
    <s v="30-Mar-25"/>
    <s v="08-Mar-25"/>
    <n v="5000"/>
    <n v="5000"/>
    <x v="0"/>
    <n v="3"/>
    <n v="8"/>
    <x v="0"/>
    <x v="0"/>
  </r>
  <r>
    <s v="O0774"/>
    <x v="68"/>
    <x v="1"/>
    <x v="166"/>
    <s v="18-Aug-25"/>
    <s v="17-Sep-25"/>
    <s v="07-Sep-25"/>
    <n v="15000"/>
    <n v="15000"/>
    <x v="0"/>
    <n v="2"/>
    <n v="20"/>
    <x v="0"/>
    <x v="0"/>
  </r>
  <r>
    <s v="O0775"/>
    <x v="80"/>
    <x v="0"/>
    <x v="91"/>
    <s v="21-Mar-25"/>
    <s v="20-Apr-25"/>
    <s v="16-Apr-25"/>
    <n v="5000"/>
    <n v="5000"/>
    <x v="0"/>
    <n v="1"/>
    <n v="26"/>
    <x v="0"/>
    <x v="0"/>
  </r>
  <r>
    <s v="O0776"/>
    <x v="6"/>
    <x v="3"/>
    <x v="58"/>
    <s v="09-Dec-25"/>
    <s v="08-Jan-26"/>
    <s v="31-Jan-26"/>
    <n v="50000"/>
    <n v="50000"/>
    <x v="1"/>
    <n v="3"/>
    <n v="53"/>
    <x v="0"/>
    <x v="1"/>
  </r>
  <r>
    <s v="O0777"/>
    <x v="66"/>
    <x v="3"/>
    <x v="234"/>
    <s v="04-Aug-25"/>
    <s v="03-Sep-25"/>
    <m/>
    <n v="45000"/>
    <n v="0"/>
    <x v="4"/>
    <n v="1"/>
    <n v="315"/>
    <x v="22"/>
    <x v="2"/>
  </r>
  <r>
    <s v="O0778"/>
    <x v="89"/>
    <x v="3"/>
    <x v="202"/>
    <s v="26-May-25"/>
    <s v="25-Jun-25"/>
    <s v="19-Jun-25"/>
    <n v="15000"/>
    <n v="15000"/>
    <x v="0"/>
    <n v="1"/>
    <n v="24"/>
    <x v="0"/>
    <x v="0"/>
  </r>
  <r>
    <s v="O0779"/>
    <x v="95"/>
    <x v="1"/>
    <x v="313"/>
    <s v="18-May-25"/>
    <s v="17-Jun-25"/>
    <s v="05-Jun-25"/>
    <n v="30000"/>
    <n v="30000"/>
    <x v="0"/>
    <n v="3"/>
    <n v="18"/>
    <x v="0"/>
    <x v="0"/>
  </r>
  <r>
    <s v="O0780"/>
    <x v="54"/>
    <x v="0"/>
    <x v="134"/>
    <s v="25-Mar-25"/>
    <s v="24-Apr-25"/>
    <s v="05-Apr-25"/>
    <n v="55000"/>
    <n v="55000"/>
    <x v="0"/>
    <n v="1"/>
    <n v="11"/>
    <x v="0"/>
    <x v="0"/>
  </r>
  <r>
    <s v="O0781"/>
    <x v="62"/>
    <x v="0"/>
    <x v="159"/>
    <s v="06-Sep-25"/>
    <s v="06-Oct-25"/>
    <s v="02-Oct-25"/>
    <n v="40000"/>
    <n v="40000"/>
    <x v="0"/>
    <n v="2"/>
    <n v="26"/>
    <x v="0"/>
    <x v="0"/>
  </r>
  <r>
    <s v="O0782"/>
    <x v="71"/>
    <x v="1"/>
    <x v="321"/>
    <s v="01-Mar-25"/>
    <s v="31-Mar-25"/>
    <s v="08-Mar-25"/>
    <n v="35000"/>
    <n v="35000"/>
    <x v="0"/>
    <n v="3"/>
    <n v="7"/>
    <x v="0"/>
    <x v="0"/>
  </r>
  <r>
    <s v="O0783"/>
    <x v="91"/>
    <x v="0"/>
    <x v="80"/>
    <s v="20-Sep-25"/>
    <s v="20-Oct-25"/>
    <s v="09-Oct-25"/>
    <n v="15000"/>
    <n v="7500"/>
    <x v="5"/>
    <n v="1"/>
    <n v="19"/>
    <x v="19"/>
    <x v="0"/>
  </r>
  <r>
    <s v="O0784"/>
    <x v="54"/>
    <x v="0"/>
    <x v="32"/>
    <s v="18-May-25"/>
    <s v="17-Jun-25"/>
    <s v="28-May-25"/>
    <n v="8000"/>
    <n v="8000"/>
    <x v="0"/>
    <n v="2"/>
    <n v="10"/>
    <x v="0"/>
    <x v="0"/>
  </r>
  <r>
    <s v="O0785"/>
    <x v="10"/>
    <x v="1"/>
    <x v="229"/>
    <s v="31-May-25"/>
    <s v="30-Jun-25"/>
    <s v="08-Jun-25"/>
    <n v="75000"/>
    <n v="75000"/>
    <x v="0"/>
    <n v="2"/>
    <n v="8"/>
    <x v="0"/>
    <x v="0"/>
  </r>
  <r>
    <s v="O0786"/>
    <x v="6"/>
    <x v="3"/>
    <x v="322"/>
    <s v="25-Jan-25"/>
    <s v="24-Feb-25"/>
    <s v="02-Mar-25"/>
    <n v="20000"/>
    <n v="20000"/>
    <x v="1"/>
    <n v="1"/>
    <n v="36"/>
    <x v="0"/>
    <x v="1"/>
  </r>
  <r>
    <s v="O0787"/>
    <x v="50"/>
    <x v="0"/>
    <x v="6"/>
    <s v="05-Jul-25"/>
    <s v="04-Aug-25"/>
    <m/>
    <n v="50000"/>
    <n v="0"/>
    <x v="2"/>
    <n v="2"/>
    <n v="345"/>
    <x v="1"/>
    <x v="2"/>
  </r>
  <r>
    <s v="O0788"/>
    <x v="71"/>
    <x v="1"/>
    <x v="323"/>
    <s v="12-Jul-25"/>
    <s v="11-Aug-25"/>
    <s v="29-Jul-25"/>
    <n v="25000"/>
    <n v="25000"/>
    <x v="0"/>
    <n v="2"/>
    <n v="17"/>
    <x v="0"/>
    <x v="0"/>
  </r>
  <r>
    <s v="O0789"/>
    <x v="90"/>
    <x v="0"/>
    <x v="218"/>
    <s v="22-May-25"/>
    <s v="21-Jun-25"/>
    <m/>
    <n v="35000"/>
    <n v="0"/>
    <x v="4"/>
    <n v="2"/>
    <n v="389"/>
    <x v="7"/>
    <x v="2"/>
  </r>
  <r>
    <s v="O0790"/>
    <x v="16"/>
    <x v="0"/>
    <x v="324"/>
    <s v="28-Mar-25"/>
    <s v="27-Apr-25"/>
    <s v="29-Apr-25"/>
    <n v="20000"/>
    <n v="20000"/>
    <x v="1"/>
    <n v="1"/>
    <n v="32"/>
    <x v="0"/>
    <x v="1"/>
  </r>
  <r>
    <s v="O0791"/>
    <x v="12"/>
    <x v="0"/>
    <x v="216"/>
    <s v="25-Feb-25"/>
    <s v="27-Mar-25"/>
    <m/>
    <n v="35000"/>
    <n v="0"/>
    <x v="2"/>
    <n v="2"/>
    <n v="475"/>
    <x v="7"/>
    <x v="2"/>
  </r>
  <r>
    <s v="O0792"/>
    <x v="55"/>
    <x v="0"/>
    <x v="201"/>
    <s v="14-Aug-25"/>
    <s v="13-Sep-25"/>
    <m/>
    <n v="12000"/>
    <n v="0"/>
    <x v="4"/>
    <n v="1"/>
    <n v="305"/>
    <x v="18"/>
    <x v="2"/>
  </r>
  <r>
    <s v="O0793"/>
    <x v="44"/>
    <x v="0"/>
    <x v="71"/>
    <s v="18-Jan-25"/>
    <s v="17-Feb-25"/>
    <s v="07-Feb-25"/>
    <n v="20000"/>
    <n v="20000"/>
    <x v="0"/>
    <n v="3"/>
    <n v="20"/>
    <x v="0"/>
    <x v="0"/>
  </r>
  <r>
    <s v="O0794"/>
    <x v="83"/>
    <x v="1"/>
    <x v="41"/>
    <s v="01-Aug-25"/>
    <s v="31-Aug-25"/>
    <s v="26-Aug-25"/>
    <n v="8000"/>
    <n v="8000"/>
    <x v="0"/>
    <n v="2"/>
    <n v="25"/>
    <x v="0"/>
    <x v="0"/>
  </r>
  <r>
    <s v="O0795"/>
    <x v="61"/>
    <x v="0"/>
    <x v="325"/>
    <s v="10-Jan-25"/>
    <s v="09-Feb-25"/>
    <m/>
    <n v="45000"/>
    <n v="0"/>
    <x v="4"/>
    <n v="3"/>
    <n v="521"/>
    <x v="22"/>
    <x v="2"/>
  </r>
  <r>
    <s v="O0796"/>
    <x v="57"/>
    <x v="0"/>
    <x v="154"/>
    <s v="18-Oct-25"/>
    <s v="17-Nov-25"/>
    <s v="14-Nov-25"/>
    <n v="75000"/>
    <n v="75000"/>
    <x v="0"/>
    <n v="1"/>
    <n v="27"/>
    <x v="0"/>
    <x v="0"/>
  </r>
  <r>
    <s v="O0797"/>
    <x v="80"/>
    <x v="0"/>
    <x v="186"/>
    <s v="14-Nov-25"/>
    <s v="14-Dec-25"/>
    <s v="22-Dec-25"/>
    <n v="18000"/>
    <n v="18000"/>
    <x v="1"/>
    <n v="1"/>
    <n v="38"/>
    <x v="0"/>
    <x v="1"/>
  </r>
  <r>
    <s v="O0798"/>
    <x v="78"/>
    <x v="0"/>
    <x v="242"/>
    <s v="30-Jun-25"/>
    <s v="30-Jul-25"/>
    <s v="22-Jul-25"/>
    <n v="12000"/>
    <n v="12000"/>
    <x v="0"/>
    <n v="3"/>
    <n v="22"/>
    <x v="0"/>
    <x v="0"/>
  </r>
  <r>
    <s v="O0799"/>
    <x v="44"/>
    <x v="0"/>
    <x v="310"/>
    <s v="29-Jan-25"/>
    <s v="28-Feb-25"/>
    <s v="18-Feb-25"/>
    <n v="25000"/>
    <n v="25000"/>
    <x v="0"/>
    <n v="1"/>
    <n v="20"/>
    <x v="0"/>
    <x v="0"/>
  </r>
  <r>
    <s v="O0800"/>
    <x v="92"/>
    <x v="0"/>
    <x v="97"/>
    <s v="27-Mar-25"/>
    <s v="26-Apr-25"/>
    <s v="11-Apr-25"/>
    <n v="35000"/>
    <n v="35000"/>
    <x v="0"/>
    <n v="1"/>
    <n v="15"/>
    <x v="0"/>
    <x v="0"/>
  </r>
  <r>
    <s v="O0801"/>
    <x v="5"/>
    <x v="3"/>
    <x v="50"/>
    <s v="29-Jan-25"/>
    <s v="28-Feb-25"/>
    <s v="13-Mar-25"/>
    <n v="40000"/>
    <n v="40000"/>
    <x v="1"/>
    <n v="3"/>
    <n v="43"/>
    <x v="0"/>
    <x v="1"/>
  </r>
  <r>
    <s v="O0802"/>
    <x v="15"/>
    <x v="0"/>
    <x v="252"/>
    <s v="02-May-25"/>
    <s v="01-Jun-25"/>
    <s v="25-May-25"/>
    <n v="22000"/>
    <n v="22000"/>
    <x v="0"/>
    <n v="1"/>
    <n v="23"/>
    <x v="0"/>
    <x v="0"/>
  </r>
  <r>
    <s v="O0803"/>
    <x v="60"/>
    <x v="0"/>
    <x v="195"/>
    <s v="17-Feb-25"/>
    <s v="19-Mar-25"/>
    <s v="09-Mar-25"/>
    <n v="22000"/>
    <n v="22000"/>
    <x v="0"/>
    <n v="2"/>
    <n v="20"/>
    <x v="0"/>
    <x v="0"/>
  </r>
  <r>
    <s v="O0804"/>
    <x v="45"/>
    <x v="0"/>
    <x v="57"/>
    <s v="02-Dec-25"/>
    <s v="01-Jan-26"/>
    <s v="08-Dec-25"/>
    <n v="15000"/>
    <n v="15000"/>
    <x v="0"/>
    <n v="1"/>
    <n v="6"/>
    <x v="0"/>
    <x v="0"/>
  </r>
  <r>
    <s v="O0805"/>
    <x v="88"/>
    <x v="0"/>
    <x v="45"/>
    <s v="10-Oct-25"/>
    <s v="09-Nov-25"/>
    <m/>
    <n v="10000"/>
    <n v="0"/>
    <x v="4"/>
    <n v="1"/>
    <n v="248"/>
    <x v="9"/>
    <x v="2"/>
  </r>
  <r>
    <s v="O0806"/>
    <x v="9"/>
    <x v="2"/>
    <x v="326"/>
    <s v="25-Nov-25"/>
    <s v="25-Dec-25"/>
    <s v="15-Jan-26"/>
    <n v="45000"/>
    <n v="45000"/>
    <x v="1"/>
    <n v="2"/>
    <n v="51"/>
    <x v="0"/>
    <x v="1"/>
  </r>
  <r>
    <s v="O0807"/>
    <x v="59"/>
    <x v="0"/>
    <x v="145"/>
    <s v="24-Aug-25"/>
    <s v="23-Sep-25"/>
    <m/>
    <n v="100000"/>
    <n v="0"/>
    <x v="2"/>
    <n v="2"/>
    <n v="295"/>
    <x v="17"/>
    <x v="2"/>
  </r>
  <r>
    <s v="O0808"/>
    <x v="29"/>
    <x v="1"/>
    <x v="25"/>
    <s v="23-Aug-25"/>
    <s v="22-Sep-25"/>
    <m/>
    <n v="55000"/>
    <n v="0"/>
    <x v="4"/>
    <n v="2"/>
    <n v="296"/>
    <x v="11"/>
    <x v="2"/>
  </r>
  <r>
    <s v="O0809"/>
    <x v="84"/>
    <x v="0"/>
    <x v="177"/>
    <s v="03-Sep-25"/>
    <s v="03-Oct-25"/>
    <m/>
    <n v="100000"/>
    <n v="0"/>
    <x v="4"/>
    <n v="3"/>
    <n v="285"/>
    <x v="17"/>
    <x v="2"/>
  </r>
  <r>
    <s v="O0810"/>
    <x v="83"/>
    <x v="1"/>
    <x v="233"/>
    <s v="22-Feb-25"/>
    <s v="24-Mar-25"/>
    <s v="10-Mar-25"/>
    <n v="40000"/>
    <n v="40000"/>
    <x v="0"/>
    <n v="3"/>
    <n v="16"/>
    <x v="0"/>
    <x v="0"/>
  </r>
  <r>
    <s v="O0811"/>
    <x v="0"/>
    <x v="0"/>
    <x v="119"/>
    <s v="02-Jun-25"/>
    <s v="02-Jul-25"/>
    <s v="10-Jun-25"/>
    <n v="45000"/>
    <n v="45000"/>
    <x v="0"/>
    <n v="3"/>
    <n v="8"/>
    <x v="0"/>
    <x v="0"/>
  </r>
  <r>
    <s v="O0812"/>
    <x v="10"/>
    <x v="1"/>
    <x v="97"/>
    <s v="28-Mar-25"/>
    <s v="27-Apr-25"/>
    <m/>
    <n v="20000"/>
    <n v="0"/>
    <x v="2"/>
    <n v="2"/>
    <n v="444"/>
    <x v="14"/>
    <x v="2"/>
  </r>
  <r>
    <s v="O0813"/>
    <x v="45"/>
    <x v="0"/>
    <x v="327"/>
    <s v="30-Jul-25"/>
    <s v="29-Aug-25"/>
    <s v="05-Sep-25"/>
    <n v="50000"/>
    <n v="50000"/>
    <x v="1"/>
    <n v="1"/>
    <n v="37"/>
    <x v="0"/>
    <x v="1"/>
  </r>
  <r>
    <s v="O0814"/>
    <x v="89"/>
    <x v="3"/>
    <x v="309"/>
    <s v="22-Jul-25"/>
    <s v="21-Aug-25"/>
    <m/>
    <n v="22000"/>
    <n v="0"/>
    <x v="2"/>
    <n v="1"/>
    <n v="328"/>
    <x v="21"/>
    <x v="2"/>
  </r>
  <r>
    <s v="O0815"/>
    <x v="53"/>
    <x v="3"/>
    <x v="175"/>
    <s v="24-Jun-25"/>
    <s v="24-Jul-25"/>
    <s v="19-Jul-25"/>
    <n v="18000"/>
    <n v="18000"/>
    <x v="0"/>
    <n v="1"/>
    <n v="25"/>
    <x v="0"/>
    <x v="0"/>
  </r>
  <r>
    <s v="O0816"/>
    <x v="55"/>
    <x v="0"/>
    <x v="116"/>
    <s v="30-Oct-25"/>
    <s v="29-Nov-25"/>
    <s v="22-Nov-25"/>
    <n v="22000"/>
    <n v="22000"/>
    <x v="0"/>
    <n v="1"/>
    <n v="23"/>
    <x v="0"/>
    <x v="0"/>
  </r>
  <r>
    <s v="O0817"/>
    <x v="42"/>
    <x v="0"/>
    <x v="255"/>
    <s v="12-Mar-25"/>
    <s v="11-Apr-25"/>
    <s v="18-Mar-25"/>
    <n v="5000"/>
    <n v="5000"/>
    <x v="0"/>
    <n v="2"/>
    <n v="6"/>
    <x v="0"/>
    <x v="0"/>
  </r>
  <r>
    <s v="O0818"/>
    <x v="77"/>
    <x v="2"/>
    <x v="178"/>
    <s v="13-Aug-25"/>
    <s v="12-Sep-25"/>
    <s v="29-Aug-25"/>
    <n v="35000"/>
    <n v="26250"/>
    <x v="5"/>
    <n v="3"/>
    <n v="16"/>
    <x v="34"/>
    <x v="0"/>
  </r>
  <r>
    <s v="O0819"/>
    <x v="48"/>
    <x v="0"/>
    <x v="286"/>
    <s v="02-Apr-25"/>
    <s v="02-May-25"/>
    <s v="28-Apr-25"/>
    <n v="20000"/>
    <n v="20000"/>
    <x v="0"/>
    <n v="3"/>
    <n v="26"/>
    <x v="0"/>
    <x v="0"/>
  </r>
  <r>
    <s v="O0820"/>
    <x v="84"/>
    <x v="0"/>
    <x v="73"/>
    <s v="09-Nov-25"/>
    <s v="09-Dec-25"/>
    <s v="10-Dec-25"/>
    <n v="45000"/>
    <n v="33750"/>
    <x v="5"/>
    <n v="2"/>
    <n v="31"/>
    <x v="27"/>
    <x v="1"/>
  </r>
  <r>
    <s v="O0821"/>
    <x v="62"/>
    <x v="0"/>
    <x v="43"/>
    <s v="10-May-25"/>
    <s v="09-Jun-25"/>
    <m/>
    <n v="12000"/>
    <n v="0"/>
    <x v="3"/>
    <n v="2"/>
    <n v="401"/>
    <x v="18"/>
    <x v="2"/>
  </r>
  <r>
    <s v="O0822"/>
    <x v="54"/>
    <x v="0"/>
    <x v="283"/>
    <s v="21-Aug-25"/>
    <s v="20-Sep-25"/>
    <s v="17-Sep-25"/>
    <n v="20000"/>
    <n v="20000"/>
    <x v="0"/>
    <n v="1"/>
    <n v="27"/>
    <x v="0"/>
    <x v="0"/>
  </r>
  <r>
    <s v="O0823"/>
    <x v="45"/>
    <x v="0"/>
    <x v="188"/>
    <s v="22-Sep-25"/>
    <s v="22-Oct-25"/>
    <m/>
    <n v="55000"/>
    <n v="0"/>
    <x v="2"/>
    <n v="2"/>
    <n v="266"/>
    <x v="11"/>
    <x v="2"/>
  </r>
  <r>
    <s v="O0824"/>
    <x v="46"/>
    <x v="0"/>
    <x v="59"/>
    <s v="14-Oct-25"/>
    <s v="13-Nov-25"/>
    <s v="07-Nov-25"/>
    <n v="30000"/>
    <n v="30000"/>
    <x v="0"/>
    <n v="3"/>
    <n v="24"/>
    <x v="0"/>
    <x v="0"/>
  </r>
  <r>
    <s v="O0825"/>
    <x v="46"/>
    <x v="0"/>
    <x v="229"/>
    <s v="01-Jun-25"/>
    <s v="01-Jul-25"/>
    <s v="14-Jun-25"/>
    <n v="100000"/>
    <n v="75000"/>
    <x v="5"/>
    <n v="3"/>
    <n v="13"/>
    <x v="12"/>
    <x v="0"/>
  </r>
  <r>
    <s v="O0826"/>
    <x v="16"/>
    <x v="0"/>
    <x v="26"/>
    <s v="05-Apr-25"/>
    <s v="05-May-25"/>
    <s v="16-May-25"/>
    <n v="55000"/>
    <n v="55000"/>
    <x v="1"/>
    <n v="3"/>
    <n v="41"/>
    <x v="0"/>
    <x v="1"/>
  </r>
  <r>
    <s v="O0827"/>
    <x v="76"/>
    <x v="0"/>
    <x v="312"/>
    <s v="03-Mar-25"/>
    <s v="02-Apr-25"/>
    <s v="26-Mar-25"/>
    <n v="55000"/>
    <n v="55000"/>
    <x v="0"/>
    <n v="2"/>
    <n v="23"/>
    <x v="0"/>
    <x v="0"/>
  </r>
  <r>
    <s v="O0828"/>
    <x v="59"/>
    <x v="0"/>
    <x v="288"/>
    <s v="01-Jan-26"/>
    <s v="31-Jan-26"/>
    <s v="19-Jan-26"/>
    <n v="55000"/>
    <n v="55000"/>
    <x v="0"/>
    <n v="2"/>
    <n v="18"/>
    <x v="0"/>
    <x v="0"/>
  </r>
  <r>
    <s v="O0829"/>
    <x v="21"/>
    <x v="0"/>
    <x v="314"/>
    <s v="26-Sep-25"/>
    <s v="26-Oct-25"/>
    <s v="02-Oct-25"/>
    <n v="5000"/>
    <n v="5000"/>
    <x v="0"/>
    <n v="1"/>
    <n v="6"/>
    <x v="0"/>
    <x v="0"/>
  </r>
  <r>
    <s v="O0830"/>
    <x v="59"/>
    <x v="0"/>
    <x v="16"/>
    <s v="30-Jan-25"/>
    <s v="01-Mar-25"/>
    <m/>
    <n v="50000"/>
    <n v="0"/>
    <x v="4"/>
    <n v="1"/>
    <n v="501"/>
    <x v="1"/>
    <x v="2"/>
  </r>
  <r>
    <s v="O0831"/>
    <x v="12"/>
    <x v="0"/>
    <x v="78"/>
    <s v="30-May-25"/>
    <s v="29-Jun-25"/>
    <s v="05-Jun-25"/>
    <n v="50000"/>
    <n v="50000"/>
    <x v="0"/>
    <n v="3"/>
    <n v="6"/>
    <x v="0"/>
    <x v="0"/>
  </r>
  <r>
    <s v="O0832"/>
    <x v="62"/>
    <x v="0"/>
    <x v="117"/>
    <s v="02-Jun-25"/>
    <s v="02-Jul-25"/>
    <s v="21-Jun-25"/>
    <n v="55000"/>
    <n v="55000"/>
    <x v="0"/>
    <n v="1"/>
    <n v="19"/>
    <x v="0"/>
    <x v="0"/>
  </r>
  <r>
    <s v="O0833"/>
    <x v="33"/>
    <x v="3"/>
    <x v="244"/>
    <s v="15-Nov-25"/>
    <s v="15-Dec-25"/>
    <m/>
    <n v="55000"/>
    <n v="0"/>
    <x v="2"/>
    <n v="3"/>
    <n v="212"/>
    <x v="11"/>
    <x v="2"/>
  </r>
  <r>
    <s v="O0834"/>
    <x v="45"/>
    <x v="0"/>
    <x v="13"/>
    <s v="01-Dec-25"/>
    <s v="31-Dec-25"/>
    <s v="28-Dec-25"/>
    <n v="12000"/>
    <n v="12000"/>
    <x v="0"/>
    <n v="3"/>
    <n v="27"/>
    <x v="0"/>
    <x v="0"/>
  </r>
  <r>
    <s v="O0835"/>
    <x v="43"/>
    <x v="1"/>
    <x v="220"/>
    <s v="24-Dec-25"/>
    <s v="23-Jan-26"/>
    <s v="22-Jan-26"/>
    <n v="8000"/>
    <n v="4000"/>
    <x v="5"/>
    <n v="3"/>
    <n v="29"/>
    <x v="35"/>
    <x v="0"/>
  </r>
  <r>
    <s v="O0836"/>
    <x v="37"/>
    <x v="2"/>
    <x v="152"/>
    <s v="19-Dec-25"/>
    <s v="18-Jan-26"/>
    <s v="16-Jan-26"/>
    <n v="55000"/>
    <n v="55000"/>
    <x v="0"/>
    <n v="2"/>
    <n v="28"/>
    <x v="0"/>
    <x v="0"/>
  </r>
  <r>
    <s v="O0837"/>
    <x v="81"/>
    <x v="2"/>
    <x v="243"/>
    <s v="17-Apr-25"/>
    <s v="17-May-25"/>
    <m/>
    <n v="22000"/>
    <n v="0"/>
    <x v="2"/>
    <n v="3"/>
    <n v="424"/>
    <x v="21"/>
    <x v="2"/>
  </r>
  <r>
    <s v="O0838"/>
    <x v="0"/>
    <x v="0"/>
    <x v="328"/>
    <s v="30-Dec-25"/>
    <s v="29-Jan-26"/>
    <m/>
    <n v="100000"/>
    <n v="0"/>
    <x v="4"/>
    <n v="3"/>
    <n v="167"/>
    <x v="17"/>
    <x v="2"/>
  </r>
  <r>
    <s v="O0839"/>
    <x v="25"/>
    <x v="0"/>
    <x v="96"/>
    <s v="06-Nov-25"/>
    <s v="06-Dec-25"/>
    <s v="16-Nov-25"/>
    <n v="30000"/>
    <n v="30000"/>
    <x v="0"/>
    <n v="1"/>
    <n v="10"/>
    <x v="0"/>
    <x v="0"/>
  </r>
  <r>
    <s v="O0840"/>
    <x v="13"/>
    <x v="0"/>
    <x v="160"/>
    <s v="09-Feb-25"/>
    <s v="11-Mar-25"/>
    <m/>
    <n v="25000"/>
    <n v="0"/>
    <x v="4"/>
    <n v="1"/>
    <n v="491"/>
    <x v="12"/>
    <x v="2"/>
  </r>
  <r>
    <s v="O0841"/>
    <x v="89"/>
    <x v="3"/>
    <x v="254"/>
    <s v="14-Jul-25"/>
    <s v="13-Aug-25"/>
    <s v="27-Jul-25"/>
    <n v="18000"/>
    <n v="18000"/>
    <x v="0"/>
    <n v="1"/>
    <n v="13"/>
    <x v="0"/>
    <x v="0"/>
  </r>
  <r>
    <s v="O0842"/>
    <x v="41"/>
    <x v="0"/>
    <x v="134"/>
    <s v="27-Mar-25"/>
    <s v="26-Apr-25"/>
    <s v="15-Apr-25"/>
    <n v="50000"/>
    <n v="50000"/>
    <x v="0"/>
    <n v="3"/>
    <n v="19"/>
    <x v="0"/>
    <x v="0"/>
  </r>
  <r>
    <s v="O0843"/>
    <x v="76"/>
    <x v="0"/>
    <x v="5"/>
    <s v="22-Mar-25"/>
    <s v="21-Apr-25"/>
    <s v="30-Mar-25"/>
    <n v="20000"/>
    <n v="15000"/>
    <x v="5"/>
    <n v="1"/>
    <n v="8"/>
    <x v="15"/>
    <x v="0"/>
  </r>
  <r>
    <s v="O0844"/>
    <x v="44"/>
    <x v="0"/>
    <x v="10"/>
    <s v="07-Dec-25"/>
    <s v="06-Jan-26"/>
    <m/>
    <n v="35000"/>
    <n v="0"/>
    <x v="4"/>
    <n v="2"/>
    <n v="190"/>
    <x v="7"/>
    <x v="2"/>
  </r>
  <r>
    <s v="O0845"/>
    <x v="77"/>
    <x v="2"/>
    <x v="6"/>
    <s v="04-Jul-25"/>
    <s v="03-Aug-25"/>
    <s v="14-Jul-25"/>
    <n v="75000"/>
    <n v="75000"/>
    <x v="0"/>
    <n v="1"/>
    <n v="10"/>
    <x v="0"/>
    <x v="0"/>
  </r>
  <r>
    <s v="O0846"/>
    <x v="69"/>
    <x v="2"/>
    <x v="215"/>
    <s v="07-Feb-25"/>
    <s v="09-Mar-25"/>
    <s v="01-Mar-25"/>
    <n v="25000"/>
    <n v="25000"/>
    <x v="0"/>
    <n v="3"/>
    <n v="22"/>
    <x v="0"/>
    <x v="0"/>
  </r>
  <r>
    <s v="O0847"/>
    <x v="15"/>
    <x v="0"/>
    <x v="46"/>
    <s v="19-Feb-25"/>
    <s v="21-Mar-25"/>
    <s v="17-Mar-25"/>
    <n v="40000"/>
    <n v="20000"/>
    <x v="5"/>
    <n v="2"/>
    <n v="26"/>
    <x v="14"/>
    <x v="0"/>
  </r>
  <r>
    <s v="O0848"/>
    <x v="26"/>
    <x v="0"/>
    <x v="112"/>
    <s v="01-Jun-25"/>
    <s v="01-Jul-25"/>
    <s v="23-Jun-25"/>
    <n v="45000"/>
    <n v="45000"/>
    <x v="0"/>
    <n v="1"/>
    <n v="22"/>
    <x v="0"/>
    <x v="0"/>
  </r>
  <r>
    <s v="O0849"/>
    <x v="22"/>
    <x v="2"/>
    <x v="100"/>
    <s v="30-Nov-25"/>
    <s v="30-Dec-25"/>
    <s v="14-Jan-26"/>
    <n v="15000"/>
    <n v="15000"/>
    <x v="1"/>
    <n v="1"/>
    <n v="45"/>
    <x v="0"/>
    <x v="1"/>
  </r>
  <r>
    <s v="O0850"/>
    <x v="85"/>
    <x v="3"/>
    <x v="247"/>
    <s v="28-Nov-25"/>
    <s v="28-Dec-25"/>
    <m/>
    <n v="40000"/>
    <n v="0"/>
    <x v="3"/>
    <n v="3"/>
    <n v="199"/>
    <x v="16"/>
    <x v="2"/>
  </r>
  <r>
    <s v="O0851"/>
    <x v="13"/>
    <x v="0"/>
    <x v="259"/>
    <s v="16-Jun-25"/>
    <s v="16-Jul-25"/>
    <s v="08-Jul-25"/>
    <n v="15000"/>
    <n v="15000"/>
    <x v="0"/>
    <n v="2"/>
    <n v="22"/>
    <x v="0"/>
    <x v="0"/>
  </r>
  <r>
    <s v="O0852"/>
    <x v="86"/>
    <x v="0"/>
    <x v="202"/>
    <s v="26-May-25"/>
    <s v="25-Jun-25"/>
    <m/>
    <n v="45000"/>
    <n v="0"/>
    <x v="2"/>
    <n v="1"/>
    <n v="385"/>
    <x v="22"/>
    <x v="2"/>
  </r>
  <r>
    <s v="O0853"/>
    <x v="87"/>
    <x v="0"/>
    <x v="38"/>
    <s v="24-Sep-25"/>
    <s v="24-Oct-25"/>
    <s v="08-Oct-25"/>
    <n v="22000"/>
    <n v="22000"/>
    <x v="0"/>
    <n v="3"/>
    <n v="14"/>
    <x v="0"/>
    <x v="0"/>
  </r>
  <r>
    <s v="O0854"/>
    <x v="16"/>
    <x v="0"/>
    <x v="265"/>
    <s v="11-Apr-25"/>
    <s v="11-May-25"/>
    <s v="19-Apr-25"/>
    <n v="45000"/>
    <n v="45000"/>
    <x v="0"/>
    <n v="2"/>
    <n v="8"/>
    <x v="0"/>
    <x v="0"/>
  </r>
  <r>
    <s v="O0855"/>
    <x v="28"/>
    <x v="1"/>
    <x v="144"/>
    <s v="06-Oct-25"/>
    <s v="05-Nov-25"/>
    <s v="12-Nov-25"/>
    <n v="5000"/>
    <n v="5000"/>
    <x v="1"/>
    <n v="3"/>
    <n v="37"/>
    <x v="0"/>
    <x v="1"/>
  </r>
  <r>
    <s v="O0856"/>
    <x v="59"/>
    <x v="0"/>
    <x v="329"/>
    <s v="20-Nov-25"/>
    <s v="20-Dec-25"/>
    <m/>
    <n v="18000"/>
    <n v="0"/>
    <x v="2"/>
    <n v="1"/>
    <n v="207"/>
    <x v="8"/>
    <x v="2"/>
  </r>
  <r>
    <s v="O0857"/>
    <x v="40"/>
    <x v="2"/>
    <x v="144"/>
    <s v="06-Oct-25"/>
    <s v="05-Nov-25"/>
    <s v="08-Nov-25"/>
    <n v="18000"/>
    <n v="18000"/>
    <x v="1"/>
    <n v="3"/>
    <n v="33"/>
    <x v="0"/>
    <x v="1"/>
  </r>
  <r>
    <s v="O0858"/>
    <x v="45"/>
    <x v="0"/>
    <x v="120"/>
    <s v="19-Dec-25"/>
    <s v="18-Jan-26"/>
    <s v="03-Jan-26"/>
    <n v="5000"/>
    <n v="5000"/>
    <x v="0"/>
    <n v="1"/>
    <n v="15"/>
    <x v="0"/>
    <x v="0"/>
  </r>
  <r>
    <s v="O0859"/>
    <x v="2"/>
    <x v="1"/>
    <x v="225"/>
    <s v="15-Feb-25"/>
    <s v="17-Mar-25"/>
    <s v="28-Feb-25"/>
    <n v="8000"/>
    <n v="8000"/>
    <x v="0"/>
    <n v="1"/>
    <n v="13"/>
    <x v="0"/>
    <x v="0"/>
  </r>
  <r>
    <s v="O0860"/>
    <x v="88"/>
    <x v="0"/>
    <x v="330"/>
    <s v="09-Feb-25"/>
    <s v="11-Mar-25"/>
    <s v="12-Mar-25"/>
    <n v="40000"/>
    <n v="20000"/>
    <x v="5"/>
    <n v="3"/>
    <n v="31"/>
    <x v="14"/>
    <x v="1"/>
  </r>
  <r>
    <s v="O0861"/>
    <x v="60"/>
    <x v="0"/>
    <x v="329"/>
    <s v="21-Nov-25"/>
    <s v="21-Dec-25"/>
    <s v="08-Dec-25"/>
    <n v="18000"/>
    <n v="18000"/>
    <x v="0"/>
    <n v="2"/>
    <n v="17"/>
    <x v="0"/>
    <x v="0"/>
  </r>
  <r>
    <s v="O0862"/>
    <x v="55"/>
    <x v="0"/>
    <x v="331"/>
    <s v="05-Mar-25"/>
    <s v="04-Apr-25"/>
    <s v="24-Apr-25"/>
    <n v="5000"/>
    <n v="5000"/>
    <x v="1"/>
    <n v="3"/>
    <n v="50"/>
    <x v="0"/>
    <x v="1"/>
  </r>
  <r>
    <s v="O0863"/>
    <x v="38"/>
    <x v="2"/>
    <x v="93"/>
    <s v="28-Oct-25"/>
    <s v="27-Nov-25"/>
    <s v="18-Nov-25"/>
    <n v="10000"/>
    <n v="10000"/>
    <x v="0"/>
    <n v="1"/>
    <n v="21"/>
    <x v="0"/>
    <x v="0"/>
  </r>
  <r>
    <s v="O0864"/>
    <x v="33"/>
    <x v="3"/>
    <x v="229"/>
    <s v="01-Jun-25"/>
    <s v="01-Jul-25"/>
    <s v="11-Jul-25"/>
    <n v="60000"/>
    <n v="60000"/>
    <x v="1"/>
    <n v="3"/>
    <n v="40"/>
    <x v="0"/>
    <x v="1"/>
  </r>
  <r>
    <s v="O0865"/>
    <x v="23"/>
    <x v="3"/>
    <x v="201"/>
    <s v="15-Aug-25"/>
    <s v="14-Sep-25"/>
    <m/>
    <n v="12000"/>
    <n v="0"/>
    <x v="2"/>
    <n v="2"/>
    <n v="304"/>
    <x v="18"/>
    <x v="2"/>
  </r>
  <r>
    <s v="O0866"/>
    <x v="3"/>
    <x v="2"/>
    <x v="177"/>
    <s v="01-Sep-25"/>
    <s v="01-Oct-25"/>
    <s v="29-Sep-25"/>
    <n v="55000"/>
    <n v="55000"/>
    <x v="0"/>
    <n v="1"/>
    <n v="28"/>
    <x v="0"/>
    <x v="0"/>
  </r>
  <r>
    <s v="O0867"/>
    <x v="99"/>
    <x v="0"/>
    <x v="222"/>
    <s v="09-Oct-25"/>
    <s v="08-Nov-25"/>
    <s v="06-Nov-25"/>
    <n v="20000"/>
    <n v="20000"/>
    <x v="0"/>
    <n v="2"/>
    <n v="28"/>
    <x v="0"/>
    <x v="0"/>
  </r>
  <r>
    <s v="O0868"/>
    <x v="101"/>
    <x v="0"/>
    <x v="34"/>
    <s v="12-Jul-25"/>
    <s v="11-Aug-25"/>
    <m/>
    <n v="55000"/>
    <n v="0"/>
    <x v="2"/>
    <n v="1"/>
    <n v="338"/>
    <x v="11"/>
    <x v="2"/>
  </r>
  <r>
    <s v="O0869"/>
    <x v="58"/>
    <x v="2"/>
    <x v="332"/>
    <s v="06-Mar-25"/>
    <s v="05-Apr-25"/>
    <s v="18-Apr-25"/>
    <n v="5000"/>
    <n v="5000"/>
    <x v="1"/>
    <n v="1"/>
    <n v="43"/>
    <x v="0"/>
    <x v="1"/>
  </r>
  <r>
    <s v="O0870"/>
    <x v="65"/>
    <x v="0"/>
    <x v="291"/>
    <s v="09-Oct-25"/>
    <s v="08-Nov-25"/>
    <s v="06-Nov-25"/>
    <n v="60000"/>
    <n v="60000"/>
    <x v="0"/>
    <n v="1"/>
    <n v="28"/>
    <x v="0"/>
    <x v="0"/>
  </r>
  <r>
    <s v="O0871"/>
    <x v="86"/>
    <x v="0"/>
    <x v="253"/>
    <s v="27-Jun-25"/>
    <s v="27-Jul-25"/>
    <s v="03-Aug-25"/>
    <n v="18000"/>
    <n v="4500"/>
    <x v="5"/>
    <n v="1"/>
    <n v="37"/>
    <x v="32"/>
    <x v="1"/>
  </r>
  <r>
    <s v="O0872"/>
    <x v="12"/>
    <x v="0"/>
    <x v="115"/>
    <s v="06-Apr-25"/>
    <s v="06-May-25"/>
    <s v="16-Apr-25"/>
    <n v="50000"/>
    <n v="50000"/>
    <x v="0"/>
    <n v="1"/>
    <n v="10"/>
    <x v="0"/>
    <x v="0"/>
  </r>
  <r>
    <s v="O0873"/>
    <x v="59"/>
    <x v="0"/>
    <x v="185"/>
    <s v="19-Oct-25"/>
    <s v="18-Nov-25"/>
    <s v="10-Nov-25"/>
    <n v="55000"/>
    <n v="55000"/>
    <x v="0"/>
    <n v="1"/>
    <n v="22"/>
    <x v="0"/>
    <x v="0"/>
  </r>
  <r>
    <s v="O0874"/>
    <x v="31"/>
    <x v="0"/>
    <x v="229"/>
    <s v="01-Jun-25"/>
    <s v="01-Jul-25"/>
    <s v="12-Jun-25"/>
    <n v="10000"/>
    <n v="10000"/>
    <x v="0"/>
    <n v="3"/>
    <n v="11"/>
    <x v="0"/>
    <x v="0"/>
  </r>
  <r>
    <s v="O0875"/>
    <x v="86"/>
    <x v="0"/>
    <x v="113"/>
    <s v="27-Oct-25"/>
    <s v="26-Nov-25"/>
    <s v="22-Nov-25"/>
    <n v="75000"/>
    <n v="75000"/>
    <x v="0"/>
    <n v="2"/>
    <n v="26"/>
    <x v="0"/>
    <x v="0"/>
  </r>
  <r>
    <s v="O0876"/>
    <x v="16"/>
    <x v="0"/>
    <x v="252"/>
    <s v="02-May-25"/>
    <s v="01-Jun-25"/>
    <s v="30-Jun-25"/>
    <n v="60000"/>
    <n v="60000"/>
    <x v="1"/>
    <n v="1"/>
    <n v="59"/>
    <x v="0"/>
    <x v="1"/>
  </r>
  <r>
    <s v="O0877"/>
    <x v="53"/>
    <x v="3"/>
    <x v="333"/>
    <s v="14-Jun-25"/>
    <s v="14-Jul-25"/>
    <s v="10-Jul-25"/>
    <n v="22000"/>
    <n v="22000"/>
    <x v="0"/>
    <n v="2"/>
    <n v="26"/>
    <x v="0"/>
    <x v="0"/>
  </r>
  <r>
    <s v="O0878"/>
    <x v="94"/>
    <x v="3"/>
    <x v="319"/>
    <s v="25-Dec-25"/>
    <s v="24-Jan-26"/>
    <s v="05-Feb-26"/>
    <n v="20000"/>
    <n v="20000"/>
    <x v="1"/>
    <n v="3"/>
    <n v="42"/>
    <x v="0"/>
    <x v="1"/>
  </r>
  <r>
    <s v="O0879"/>
    <x v="61"/>
    <x v="0"/>
    <x v="293"/>
    <s v="09-Aug-25"/>
    <s v="08-Sep-25"/>
    <s v="21-Aug-25"/>
    <n v="5000"/>
    <n v="5000"/>
    <x v="0"/>
    <n v="1"/>
    <n v="12"/>
    <x v="0"/>
    <x v="0"/>
  </r>
  <r>
    <s v="O0880"/>
    <x v="46"/>
    <x v="0"/>
    <x v="247"/>
    <s v="27-Nov-25"/>
    <s v="27-Dec-25"/>
    <m/>
    <n v="50000"/>
    <n v="0"/>
    <x v="2"/>
    <n v="2"/>
    <n v="200"/>
    <x v="1"/>
    <x v="2"/>
  </r>
  <r>
    <s v="O0881"/>
    <x v="66"/>
    <x v="3"/>
    <x v="189"/>
    <s v="17-Dec-25"/>
    <s v="16-Jan-26"/>
    <m/>
    <n v="75000"/>
    <n v="0"/>
    <x v="2"/>
    <n v="3"/>
    <n v="180"/>
    <x v="10"/>
    <x v="2"/>
  </r>
  <r>
    <s v="O0882"/>
    <x v="70"/>
    <x v="3"/>
    <x v="224"/>
    <s v="19-Aug-25"/>
    <s v="18-Sep-25"/>
    <s v="27-Aug-25"/>
    <n v="60000"/>
    <n v="60000"/>
    <x v="0"/>
    <n v="2"/>
    <n v="8"/>
    <x v="0"/>
    <x v="0"/>
  </r>
  <r>
    <s v="O0883"/>
    <x v="49"/>
    <x v="1"/>
    <x v="158"/>
    <s v="30-Nov-25"/>
    <s v="30-Dec-25"/>
    <m/>
    <n v="10000"/>
    <n v="0"/>
    <x v="2"/>
    <n v="3"/>
    <n v="197"/>
    <x v="9"/>
    <x v="2"/>
  </r>
  <r>
    <s v="O0884"/>
    <x v="66"/>
    <x v="3"/>
    <x v="144"/>
    <s v="04-Oct-25"/>
    <s v="03-Nov-25"/>
    <m/>
    <n v="50000"/>
    <n v="0"/>
    <x v="4"/>
    <n v="1"/>
    <n v="254"/>
    <x v="1"/>
    <x v="2"/>
  </r>
  <r>
    <s v="O0885"/>
    <x v="79"/>
    <x v="0"/>
    <x v="89"/>
    <s v="12-Feb-25"/>
    <s v="14-Mar-25"/>
    <s v="21-Mar-25"/>
    <n v="10000"/>
    <n v="7500"/>
    <x v="5"/>
    <n v="3"/>
    <n v="37"/>
    <x v="13"/>
    <x v="1"/>
  </r>
  <r>
    <s v="O0886"/>
    <x v="3"/>
    <x v="2"/>
    <x v="113"/>
    <s v="28-Oct-25"/>
    <s v="27-Nov-25"/>
    <m/>
    <n v="12000"/>
    <n v="0"/>
    <x v="4"/>
    <n v="3"/>
    <n v="230"/>
    <x v="18"/>
    <x v="2"/>
  </r>
  <r>
    <s v="O0887"/>
    <x v="35"/>
    <x v="0"/>
    <x v="334"/>
    <s v="22-Jan-25"/>
    <s v="21-Feb-25"/>
    <s v="13-Feb-25"/>
    <n v="50000"/>
    <n v="50000"/>
    <x v="0"/>
    <n v="3"/>
    <n v="22"/>
    <x v="0"/>
    <x v="0"/>
  </r>
  <r>
    <s v="O0888"/>
    <x v="67"/>
    <x v="0"/>
    <x v="57"/>
    <s v="02-Dec-25"/>
    <s v="01-Jan-26"/>
    <s v="25-Dec-25"/>
    <n v="100000"/>
    <n v="100000"/>
    <x v="0"/>
    <n v="1"/>
    <n v="23"/>
    <x v="0"/>
    <x v="0"/>
  </r>
  <r>
    <s v="O0889"/>
    <x v="7"/>
    <x v="0"/>
    <x v="229"/>
    <s v="30-May-25"/>
    <s v="29-Jun-25"/>
    <s v="06-Jun-25"/>
    <n v="22000"/>
    <n v="22000"/>
    <x v="0"/>
    <n v="1"/>
    <n v="7"/>
    <x v="0"/>
    <x v="0"/>
  </r>
  <r>
    <s v="O0890"/>
    <x v="99"/>
    <x v="0"/>
    <x v="335"/>
    <s v="09-Jul-25"/>
    <s v="08-Aug-25"/>
    <s v="05-Sep-25"/>
    <n v="5000"/>
    <n v="5000"/>
    <x v="1"/>
    <n v="3"/>
    <n v="58"/>
    <x v="0"/>
    <x v="1"/>
  </r>
  <r>
    <s v="O0891"/>
    <x v="44"/>
    <x v="0"/>
    <x v="152"/>
    <s v="18-Dec-25"/>
    <s v="17-Jan-26"/>
    <s v="28-Dec-25"/>
    <n v="45000"/>
    <n v="45000"/>
    <x v="0"/>
    <n v="1"/>
    <n v="10"/>
    <x v="0"/>
    <x v="0"/>
  </r>
  <r>
    <s v="O0892"/>
    <x v="49"/>
    <x v="1"/>
    <x v="154"/>
    <s v="20-Oct-25"/>
    <s v="19-Nov-25"/>
    <m/>
    <n v="20000"/>
    <n v="0"/>
    <x v="4"/>
    <n v="3"/>
    <n v="238"/>
    <x v="14"/>
    <x v="2"/>
  </r>
  <r>
    <s v="O0893"/>
    <x v="78"/>
    <x v="0"/>
    <x v="6"/>
    <s v="04-Jul-25"/>
    <s v="03-Aug-25"/>
    <m/>
    <n v="40000"/>
    <n v="0"/>
    <x v="4"/>
    <n v="1"/>
    <n v="346"/>
    <x v="16"/>
    <x v="2"/>
  </r>
  <r>
    <s v="O0894"/>
    <x v="11"/>
    <x v="2"/>
    <x v="35"/>
    <s v="04-Feb-25"/>
    <s v="06-Mar-25"/>
    <s v="02-Mar-25"/>
    <n v="100000"/>
    <n v="100000"/>
    <x v="0"/>
    <n v="2"/>
    <n v="26"/>
    <x v="0"/>
    <x v="0"/>
  </r>
  <r>
    <s v="O0895"/>
    <x v="40"/>
    <x v="2"/>
    <x v="223"/>
    <s v="25-Sep-25"/>
    <s v="25-Oct-25"/>
    <s v="14-Oct-25"/>
    <n v="12000"/>
    <n v="12000"/>
    <x v="0"/>
    <n v="2"/>
    <n v="19"/>
    <x v="0"/>
    <x v="0"/>
  </r>
  <r>
    <s v="O0896"/>
    <x v="10"/>
    <x v="1"/>
    <x v="64"/>
    <s v="24-Jan-25"/>
    <s v="23-Feb-25"/>
    <s v="14-Feb-25"/>
    <n v="75000"/>
    <n v="75000"/>
    <x v="0"/>
    <n v="3"/>
    <n v="21"/>
    <x v="0"/>
    <x v="0"/>
  </r>
  <r>
    <s v="O0897"/>
    <x v="0"/>
    <x v="0"/>
    <x v="264"/>
    <s v="24-May-25"/>
    <s v="23-Jun-25"/>
    <s v="12-Jul-25"/>
    <n v="50000"/>
    <n v="50000"/>
    <x v="1"/>
    <n v="3"/>
    <n v="49"/>
    <x v="0"/>
    <x v="1"/>
  </r>
  <r>
    <s v="O0898"/>
    <x v="49"/>
    <x v="1"/>
    <x v="336"/>
    <s v="15-Jul-25"/>
    <s v="14-Aug-25"/>
    <s v="09-Aug-25"/>
    <n v="12000"/>
    <n v="12000"/>
    <x v="0"/>
    <n v="3"/>
    <n v="25"/>
    <x v="0"/>
    <x v="0"/>
  </r>
  <r>
    <s v="O0899"/>
    <x v="31"/>
    <x v="0"/>
    <x v="297"/>
    <s v="24-Sep-25"/>
    <s v="24-Oct-25"/>
    <m/>
    <n v="12000"/>
    <n v="0"/>
    <x v="3"/>
    <n v="2"/>
    <n v="264"/>
    <x v="18"/>
    <x v="2"/>
  </r>
  <r>
    <s v="O0900"/>
    <x v="29"/>
    <x v="1"/>
    <x v="297"/>
    <s v="24-Sep-25"/>
    <s v="24-Oct-25"/>
    <m/>
    <n v="100000"/>
    <n v="0"/>
    <x v="2"/>
    <n v="2"/>
    <n v="264"/>
    <x v="17"/>
    <x v="2"/>
  </r>
  <r>
    <s v="O0901"/>
    <x v="51"/>
    <x v="0"/>
    <x v="151"/>
    <s v="09-Sep-25"/>
    <s v="09-Oct-25"/>
    <s v="18-Sep-25"/>
    <n v="5000"/>
    <n v="5000"/>
    <x v="0"/>
    <n v="2"/>
    <n v="9"/>
    <x v="0"/>
    <x v="0"/>
  </r>
  <r>
    <s v="O0902"/>
    <x v="34"/>
    <x v="0"/>
    <x v="97"/>
    <s v="27-Mar-25"/>
    <s v="26-Apr-25"/>
    <s v="09-Apr-25"/>
    <n v="10000"/>
    <n v="10000"/>
    <x v="0"/>
    <n v="1"/>
    <n v="13"/>
    <x v="0"/>
    <x v="0"/>
  </r>
  <r>
    <s v="O0903"/>
    <x v="35"/>
    <x v="0"/>
    <x v="203"/>
    <s v="19-Mar-25"/>
    <s v="18-Apr-25"/>
    <s v="15-Apr-25"/>
    <n v="25000"/>
    <n v="25000"/>
    <x v="0"/>
    <n v="1"/>
    <n v="27"/>
    <x v="0"/>
    <x v="0"/>
  </r>
  <r>
    <s v="O0904"/>
    <x v="89"/>
    <x v="3"/>
    <x v="10"/>
    <s v="06-Dec-25"/>
    <s v="05-Jan-26"/>
    <m/>
    <n v="18000"/>
    <n v="0"/>
    <x v="2"/>
    <n v="1"/>
    <n v="191"/>
    <x v="8"/>
    <x v="2"/>
  </r>
  <r>
    <s v="O0905"/>
    <x v="86"/>
    <x v="0"/>
    <x v="102"/>
    <s v="02-Mar-25"/>
    <s v="01-Apr-25"/>
    <s v="25-Mar-25"/>
    <n v="35000"/>
    <n v="35000"/>
    <x v="0"/>
    <n v="2"/>
    <n v="23"/>
    <x v="0"/>
    <x v="0"/>
  </r>
  <r>
    <s v="O0906"/>
    <x v="12"/>
    <x v="0"/>
    <x v="13"/>
    <s v="30-Nov-25"/>
    <s v="30-Dec-25"/>
    <s v="09-Dec-25"/>
    <n v="5000"/>
    <n v="5000"/>
    <x v="0"/>
    <n v="2"/>
    <n v="9"/>
    <x v="0"/>
    <x v="0"/>
  </r>
  <r>
    <s v="O0907"/>
    <x v="57"/>
    <x v="0"/>
    <x v="301"/>
    <s v="01-Nov-25"/>
    <s v="01-Dec-25"/>
    <s v="03-Dec-25"/>
    <n v="20000"/>
    <n v="20000"/>
    <x v="1"/>
    <n v="1"/>
    <n v="32"/>
    <x v="0"/>
    <x v="1"/>
  </r>
  <r>
    <s v="O0908"/>
    <x v="57"/>
    <x v="0"/>
    <x v="303"/>
    <s v="18-Mar-25"/>
    <s v="17-Apr-25"/>
    <s v="28-Mar-25"/>
    <n v="25000"/>
    <n v="25000"/>
    <x v="0"/>
    <n v="1"/>
    <n v="10"/>
    <x v="0"/>
    <x v="0"/>
  </r>
  <r>
    <s v="O0909"/>
    <x v="69"/>
    <x v="2"/>
    <x v="304"/>
    <s v="30-Jul-25"/>
    <s v="29-Aug-25"/>
    <m/>
    <n v="5000"/>
    <n v="0"/>
    <x v="2"/>
    <n v="3"/>
    <n v="320"/>
    <x v="15"/>
    <x v="2"/>
  </r>
  <r>
    <s v="O0910"/>
    <x v="7"/>
    <x v="0"/>
    <x v="10"/>
    <s v="07-Dec-25"/>
    <s v="06-Jan-26"/>
    <s v="31-Dec-25"/>
    <n v="10000"/>
    <n v="10000"/>
    <x v="0"/>
    <n v="2"/>
    <n v="24"/>
    <x v="0"/>
    <x v="0"/>
  </r>
  <r>
    <s v="O0911"/>
    <x v="67"/>
    <x v="0"/>
    <x v="159"/>
    <s v="05-Sep-25"/>
    <s v="05-Oct-25"/>
    <m/>
    <n v="40000"/>
    <n v="0"/>
    <x v="2"/>
    <n v="1"/>
    <n v="283"/>
    <x v="16"/>
    <x v="2"/>
  </r>
  <r>
    <s v="O0912"/>
    <x v="84"/>
    <x v="0"/>
    <x v="317"/>
    <s v="18-Mar-25"/>
    <s v="17-Apr-25"/>
    <s v="04-May-25"/>
    <n v="25000"/>
    <n v="25000"/>
    <x v="1"/>
    <n v="3"/>
    <n v="47"/>
    <x v="0"/>
    <x v="1"/>
  </r>
  <r>
    <s v="O0913"/>
    <x v="36"/>
    <x v="1"/>
    <x v="324"/>
    <s v="30-Mar-25"/>
    <s v="29-Apr-25"/>
    <s v="08-Apr-25"/>
    <n v="75000"/>
    <n v="18750"/>
    <x v="5"/>
    <n v="3"/>
    <n v="9"/>
    <x v="36"/>
    <x v="0"/>
  </r>
  <r>
    <s v="O0914"/>
    <x v="8"/>
    <x v="0"/>
    <x v="148"/>
    <s v="18-Jul-25"/>
    <s v="17-Aug-25"/>
    <s v="08-Aug-25"/>
    <n v="15000"/>
    <n v="15000"/>
    <x v="0"/>
    <n v="1"/>
    <n v="21"/>
    <x v="0"/>
    <x v="0"/>
  </r>
  <r>
    <s v="O0915"/>
    <x v="42"/>
    <x v="0"/>
    <x v="152"/>
    <s v="19-Dec-25"/>
    <s v="18-Jan-26"/>
    <s v="24-Jan-26"/>
    <n v="20000"/>
    <n v="20000"/>
    <x v="1"/>
    <n v="2"/>
    <n v="36"/>
    <x v="0"/>
    <x v="1"/>
  </r>
  <r>
    <s v="O0916"/>
    <x v="67"/>
    <x v="0"/>
    <x v="182"/>
    <s v="14-Nov-25"/>
    <s v="14-Dec-25"/>
    <m/>
    <n v="8000"/>
    <n v="0"/>
    <x v="2"/>
    <n v="3"/>
    <n v="213"/>
    <x v="5"/>
    <x v="2"/>
  </r>
  <r>
    <s v="O0917"/>
    <x v="65"/>
    <x v="0"/>
    <x v="149"/>
    <s v="16-Sep-25"/>
    <s v="16-Oct-25"/>
    <s v="25-Sep-25"/>
    <n v="10000"/>
    <n v="10000"/>
    <x v="0"/>
    <n v="1"/>
    <n v="9"/>
    <x v="0"/>
    <x v="0"/>
  </r>
  <r>
    <s v="O0918"/>
    <x v="56"/>
    <x v="0"/>
    <x v="90"/>
    <s v="05-Oct-25"/>
    <s v="04-Nov-25"/>
    <s v="21-Oct-25"/>
    <n v="18000"/>
    <n v="18000"/>
    <x v="0"/>
    <n v="1"/>
    <n v="16"/>
    <x v="0"/>
    <x v="0"/>
  </r>
  <r>
    <s v="O0919"/>
    <x v="10"/>
    <x v="1"/>
    <x v="138"/>
    <s v="27-Dec-25"/>
    <s v="26-Jan-26"/>
    <s v="16-Jan-26"/>
    <n v="18000"/>
    <n v="18000"/>
    <x v="0"/>
    <n v="3"/>
    <n v="20"/>
    <x v="0"/>
    <x v="0"/>
  </r>
  <r>
    <s v="O0920"/>
    <x v="96"/>
    <x v="0"/>
    <x v="67"/>
    <s v="17-Jul-25"/>
    <s v="16-Aug-25"/>
    <s v="30-Jul-25"/>
    <n v="15000"/>
    <n v="15000"/>
    <x v="0"/>
    <n v="2"/>
    <n v="13"/>
    <x v="0"/>
    <x v="0"/>
  </r>
  <r>
    <s v="O0921"/>
    <x v="78"/>
    <x v="0"/>
    <x v="308"/>
    <s v="01-May-25"/>
    <s v="31-May-25"/>
    <s v="18-Jun-25"/>
    <n v="60000"/>
    <n v="60000"/>
    <x v="1"/>
    <n v="1"/>
    <n v="48"/>
    <x v="0"/>
    <x v="1"/>
  </r>
  <r>
    <s v="O0922"/>
    <x v="32"/>
    <x v="0"/>
    <x v="261"/>
    <s v="13-May-25"/>
    <s v="12-Jun-25"/>
    <m/>
    <n v="5000"/>
    <n v="0"/>
    <x v="4"/>
    <n v="1"/>
    <n v="398"/>
    <x v="15"/>
    <x v="2"/>
  </r>
  <r>
    <s v="O0923"/>
    <x v="96"/>
    <x v="0"/>
    <x v="337"/>
    <s v="07-Jan-25"/>
    <s v="06-Feb-25"/>
    <s v="12-Jan-25"/>
    <n v="45000"/>
    <n v="45000"/>
    <x v="0"/>
    <n v="3"/>
    <n v="5"/>
    <x v="0"/>
    <x v="0"/>
  </r>
  <r>
    <s v="O0924"/>
    <x v="8"/>
    <x v="0"/>
    <x v="79"/>
    <s v="03-Dec-25"/>
    <s v="02-Jan-26"/>
    <s v="11-Dec-25"/>
    <n v="75000"/>
    <n v="75000"/>
    <x v="0"/>
    <n v="1"/>
    <n v="8"/>
    <x v="0"/>
    <x v="0"/>
  </r>
  <r>
    <s v="O0925"/>
    <x v="20"/>
    <x v="2"/>
    <x v="176"/>
    <s v="10-Aug-25"/>
    <s v="09-Sep-25"/>
    <s v="01-Sep-25"/>
    <n v="50000"/>
    <n v="50000"/>
    <x v="0"/>
    <n v="3"/>
    <n v="22"/>
    <x v="0"/>
    <x v="0"/>
  </r>
  <r>
    <s v="O0926"/>
    <x v="18"/>
    <x v="0"/>
    <x v="154"/>
    <s v="19-Oct-25"/>
    <s v="18-Nov-25"/>
    <m/>
    <n v="50000"/>
    <n v="0"/>
    <x v="3"/>
    <n v="2"/>
    <n v="239"/>
    <x v="1"/>
    <x v="2"/>
  </r>
  <r>
    <s v="O0927"/>
    <x v="99"/>
    <x v="0"/>
    <x v="137"/>
    <s v="17-Apr-25"/>
    <s v="17-May-25"/>
    <m/>
    <n v="55000"/>
    <n v="0"/>
    <x v="4"/>
    <n v="2"/>
    <n v="424"/>
    <x v="11"/>
    <x v="2"/>
  </r>
  <r>
    <s v="O0928"/>
    <x v="78"/>
    <x v="0"/>
    <x v="26"/>
    <s v="04-Apr-25"/>
    <s v="04-May-25"/>
    <s v="13-May-25"/>
    <n v="55000"/>
    <n v="55000"/>
    <x v="1"/>
    <n v="2"/>
    <n v="39"/>
    <x v="0"/>
    <x v="1"/>
  </r>
  <r>
    <s v="O0929"/>
    <x v="94"/>
    <x v="3"/>
    <x v="228"/>
    <s v="25-Oct-25"/>
    <s v="24-Nov-25"/>
    <m/>
    <n v="12000"/>
    <n v="0"/>
    <x v="4"/>
    <n v="2"/>
    <n v="233"/>
    <x v="18"/>
    <x v="2"/>
  </r>
  <r>
    <s v="O0930"/>
    <x v="39"/>
    <x v="0"/>
    <x v="331"/>
    <s v="05-Mar-25"/>
    <s v="04-Apr-25"/>
    <s v="01-Apr-25"/>
    <n v="40000"/>
    <n v="40000"/>
    <x v="0"/>
    <n v="3"/>
    <n v="27"/>
    <x v="0"/>
    <x v="0"/>
  </r>
  <r>
    <s v="O0931"/>
    <x v="12"/>
    <x v="0"/>
    <x v="11"/>
    <s v="22-Feb-25"/>
    <s v="24-Mar-25"/>
    <s v="09-Mar-25"/>
    <n v="45000"/>
    <n v="45000"/>
    <x v="0"/>
    <n v="1"/>
    <n v="15"/>
    <x v="0"/>
    <x v="0"/>
  </r>
  <r>
    <s v="O0932"/>
    <x v="77"/>
    <x v="2"/>
    <x v="182"/>
    <s v="14-Nov-25"/>
    <s v="14-Dec-25"/>
    <s v="09-Dec-25"/>
    <n v="8000"/>
    <n v="8000"/>
    <x v="0"/>
    <n v="3"/>
    <n v="25"/>
    <x v="0"/>
    <x v="0"/>
  </r>
  <r>
    <s v="O0933"/>
    <x v="82"/>
    <x v="1"/>
    <x v="183"/>
    <s v="17-Feb-25"/>
    <s v="19-Mar-25"/>
    <s v="21-Mar-25"/>
    <n v="35000"/>
    <n v="8750"/>
    <x v="5"/>
    <n v="1"/>
    <n v="32"/>
    <x v="33"/>
    <x v="1"/>
  </r>
  <r>
    <s v="O0934"/>
    <x v="38"/>
    <x v="2"/>
    <x v="313"/>
    <s v="16-May-25"/>
    <s v="15-Jun-25"/>
    <s v="22-May-25"/>
    <n v="100000"/>
    <n v="100000"/>
    <x v="0"/>
    <n v="1"/>
    <n v="6"/>
    <x v="0"/>
    <x v="0"/>
  </r>
  <r>
    <s v="O0935"/>
    <x v="86"/>
    <x v="0"/>
    <x v="267"/>
    <s v="18-Jul-25"/>
    <s v="17-Aug-25"/>
    <s v="11-Aug-25"/>
    <n v="45000"/>
    <n v="45000"/>
    <x v="0"/>
    <n v="2"/>
    <n v="24"/>
    <x v="0"/>
    <x v="0"/>
  </r>
  <r>
    <s v="O0936"/>
    <x v="30"/>
    <x v="0"/>
    <x v="77"/>
    <s v="03-Apr-25"/>
    <s v="03-May-25"/>
    <s v="14-Apr-25"/>
    <n v="35000"/>
    <n v="35000"/>
    <x v="0"/>
    <n v="3"/>
    <n v="11"/>
    <x v="0"/>
    <x v="0"/>
  </r>
  <r>
    <s v="O0937"/>
    <x v="39"/>
    <x v="0"/>
    <x v="223"/>
    <s v="25-Sep-25"/>
    <s v="25-Oct-25"/>
    <s v="19-Oct-25"/>
    <n v="30000"/>
    <n v="30000"/>
    <x v="0"/>
    <n v="2"/>
    <n v="24"/>
    <x v="0"/>
    <x v="0"/>
  </r>
  <r>
    <s v="O0938"/>
    <x v="19"/>
    <x v="0"/>
    <x v="297"/>
    <s v="25-Sep-25"/>
    <s v="25-Oct-25"/>
    <s v="16-Nov-25"/>
    <n v="40000"/>
    <n v="40000"/>
    <x v="1"/>
    <n v="3"/>
    <n v="52"/>
    <x v="0"/>
    <x v="1"/>
  </r>
  <r>
    <s v="O0939"/>
    <x v="2"/>
    <x v="1"/>
    <x v="272"/>
    <s v="05-Jul-25"/>
    <s v="04-Aug-25"/>
    <m/>
    <n v="5000"/>
    <n v="0"/>
    <x v="3"/>
    <n v="1"/>
    <n v="345"/>
    <x v="15"/>
    <x v="2"/>
  </r>
  <r>
    <s v="O0940"/>
    <x v="71"/>
    <x v="1"/>
    <x v="88"/>
    <s v="24-May-25"/>
    <s v="23-Jun-25"/>
    <s v="06-Jul-25"/>
    <n v="100000"/>
    <n v="100000"/>
    <x v="1"/>
    <n v="2"/>
    <n v="43"/>
    <x v="0"/>
    <x v="1"/>
  </r>
  <r>
    <s v="O0941"/>
    <x v="4"/>
    <x v="3"/>
    <x v="101"/>
    <s v="16-Apr-25"/>
    <s v="16-May-25"/>
    <m/>
    <n v="5000"/>
    <n v="0"/>
    <x v="4"/>
    <n v="3"/>
    <n v="425"/>
    <x v="15"/>
    <x v="2"/>
  </r>
  <r>
    <s v="O0942"/>
    <x v="38"/>
    <x v="2"/>
    <x v="183"/>
    <s v="19-Feb-25"/>
    <s v="21-Mar-25"/>
    <m/>
    <n v="60000"/>
    <n v="0"/>
    <x v="4"/>
    <n v="3"/>
    <n v="481"/>
    <x v="3"/>
    <x v="2"/>
  </r>
  <r>
    <s v="O0943"/>
    <x v="88"/>
    <x v="0"/>
    <x v="19"/>
    <s v="28-Oct-25"/>
    <s v="27-Nov-25"/>
    <m/>
    <n v="100000"/>
    <n v="0"/>
    <x v="3"/>
    <n v="2"/>
    <n v="230"/>
    <x v="17"/>
    <x v="2"/>
  </r>
  <r>
    <s v="O0944"/>
    <x v="5"/>
    <x v="3"/>
    <x v="181"/>
    <s v="29-Apr-25"/>
    <s v="29-May-25"/>
    <s v="16-May-25"/>
    <n v="30000"/>
    <n v="30000"/>
    <x v="0"/>
    <n v="3"/>
    <n v="17"/>
    <x v="0"/>
    <x v="0"/>
  </r>
  <r>
    <s v="O0945"/>
    <x v="57"/>
    <x v="0"/>
    <x v="338"/>
    <s v="05-Jan-25"/>
    <s v="04-Feb-25"/>
    <s v="13-Jan-25"/>
    <n v="25000"/>
    <n v="25000"/>
    <x v="0"/>
    <n v="2"/>
    <n v="8"/>
    <x v="0"/>
    <x v="0"/>
  </r>
  <r>
    <s v="O0946"/>
    <x v="88"/>
    <x v="0"/>
    <x v="227"/>
    <s v="10-Feb-25"/>
    <s v="12-Mar-25"/>
    <s v="18-Feb-25"/>
    <n v="60000"/>
    <n v="60000"/>
    <x v="0"/>
    <n v="3"/>
    <n v="8"/>
    <x v="0"/>
    <x v="0"/>
  </r>
  <r>
    <s v="O0947"/>
    <x v="19"/>
    <x v="0"/>
    <x v="261"/>
    <s v="15-May-25"/>
    <s v="14-Jun-25"/>
    <s v="27-Jun-25"/>
    <n v="50000"/>
    <n v="50000"/>
    <x v="1"/>
    <n v="3"/>
    <n v="43"/>
    <x v="0"/>
    <x v="1"/>
  </r>
  <r>
    <s v="O0948"/>
    <x v="72"/>
    <x v="0"/>
    <x v="282"/>
    <s v="06-Sep-25"/>
    <s v="06-Oct-25"/>
    <m/>
    <n v="75000"/>
    <n v="0"/>
    <x v="3"/>
    <n v="1"/>
    <n v="282"/>
    <x v="10"/>
    <x v="2"/>
  </r>
  <r>
    <s v="O0949"/>
    <x v="90"/>
    <x v="0"/>
    <x v="23"/>
    <s v="17-Dec-25"/>
    <s v="16-Jan-26"/>
    <s v="30-Dec-25"/>
    <n v="5000"/>
    <n v="5000"/>
    <x v="0"/>
    <n v="2"/>
    <n v="13"/>
    <x v="0"/>
    <x v="0"/>
  </r>
  <r>
    <s v="O0950"/>
    <x v="38"/>
    <x v="2"/>
    <x v="67"/>
    <s v="18-Jul-25"/>
    <s v="17-Aug-25"/>
    <s v="25-Aug-25"/>
    <n v="40000"/>
    <n v="40000"/>
    <x v="1"/>
    <n v="3"/>
    <n v="38"/>
    <x v="0"/>
    <x v="1"/>
  </r>
  <r>
    <s v="O0951"/>
    <x v="61"/>
    <x v="0"/>
    <x v="66"/>
    <s v="02-Aug-25"/>
    <s v="01-Sep-25"/>
    <s v="29-Aug-25"/>
    <n v="45000"/>
    <n v="45000"/>
    <x v="0"/>
    <n v="2"/>
    <n v="27"/>
    <x v="0"/>
    <x v="0"/>
  </r>
  <r>
    <s v="O0952"/>
    <x v="36"/>
    <x v="1"/>
    <x v="43"/>
    <s v="10-May-25"/>
    <s v="09-Jun-25"/>
    <s v="07-Jun-25"/>
    <n v="10000"/>
    <n v="10000"/>
    <x v="0"/>
    <n v="2"/>
    <n v="28"/>
    <x v="0"/>
    <x v="0"/>
  </r>
  <r>
    <s v="O0953"/>
    <x v="74"/>
    <x v="0"/>
    <x v="160"/>
    <s v="11-Feb-25"/>
    <s v="13-Mar-25"/>
    <s v="27-Feb-25"/>
    <n v="25000"/>
    <n v="25000"/>
    <x v="0"/>
    <n v="3"/>
    <n v="16"/>
    <x v="0"/>
    <x v="0"/>
  </r>
  <r>
    <s v="O0954"/>
    <x v="35"/>
    <x v="0"/>
    <x v="193"/>
    <s v="23-Oct-25"/>
    <s v="22-Nov-25"/>
    <m/>
    <n v="25000"/>
    <n v="0"/>
    <x v="3"/>
    <n v="2"/>
    <n v="235"/>
    <x v="12"/>
    <x v="2"/>
  </r>
  <r>
    <s v="O0955"/>
    <x v="13"/>
    <x v="0"/>
    <x v="40"/>
    <s v="10-Apr-25"/>
    <s v="10-May-25"/>
    <s v="22-Apr-25"/>
    <n v="30000"/>
    <n v="30000"/>
    <x v="0"/>
    <n v="2"/>
    <n v="12"/>
    <x v="0"/>
    <x v="0"/>
  </r>
  <r>
    <s v="O0956"/>
    <x v="36"/>
    <x v="1"/>
    <x v="284"/>
    <s v="17-Apr-25"/>
    <s v="17-May-25"/>
    <m/>
    <n v="30000"/>
    <n v="0"/>
    <x v="2"/>
    <n v="1"/>
    <n v="424"/>
    <x v="4"/>
    <x v="2"/>
  </r>
  <r>
    <s v="O0957"/>
    <x v="9"/>
    <x v="2"/>
    <x v="339"/>
    <s v="03-Jul-25"/>
    <s v="02-Aug-25"/>
    <s v="10-Jul-25"/>
    <n v="15000"/>
    <n v="15000"/>
    <x v="0"/>
    <n v="1"/>
    <n v="7"/>
    <x v="0"/>
    <x v="0"/>
  </r>
  <r>
    <s v="O0958"/>
    <x v="55"/>
    <x v="0"/>
    <x v="58"/>
    <s v="08-Dec-25"/>
    <s v="07-Jan-26"/>
    <m/>
    <n v="5000"/>
    <n v="0"/>
    <x v="4"/>
    <n v="2"/>
    <n v="189"/>
    <x v="15"/>
    <x v="2"/>
  </r>
  <r>
    <s v="O0959"/>
    <x v="25"/>
    <x v="0"/>
    <x v="199"/>
    <s v="24-Jan-25"/>
    <s v="23-Feb-25"/>
    <s v="11-Mar-25"/>
    <n v="100000"/>
    <n v="100000"/>
    <x v="1"/>
    <n v="2"/>
    <n v="46"/>
    <x v="0"/>
    <x v="1"/>
  </r>
  <r>
    <s v="O0960"/>
    <x v="57"/>
    <x v="0"/>
    <x v="264"/>
    <s v="23-May-25"/>
    <s v="22-Jun-25"/>
    <m/>
    <n v="25000"/>
    <n v="0"/>
    <x v="3"/>
    <n v="2"/>
    <n v="388"/>
    <x v="12"/>
    <x v="2"/>
  </r>
  <r>
    <s v="O0961"/>
    <x v="19"/>
    <x v="0"/>
    <x v="111"/>
    <s v="26-May-25"/>
    <s v="25-Jun-25"/>
    <m/>
    <n v="40000"/>
    <n v="0"/>
    <x v="4"/>
    <n v="2"/>
    <n v="385"/>
    <x v="16"/>
    <x v="2"/>
  </r>
  <r>
    <s v="O0962"/>
    <x v="41"/>
    <x v="0"/>
    <x v="310"/>
    <s v="31-Jan-25"/>
    <s v="02-Mar-25"/>
    <s v="22-Feb-25"/>
    <n v="18000"/>
    <n v="18000"/>
    <x v="0"/>
    <n v="3"/>
    <n v="22"/>
    <x v="0"/>
    <x v="0"/>
  </r>
  <r>
    <s v="O0963"/>
    <x v="2"/>
    <x v="1"/>
    <x v="149"/>
    <s v="17-Sep-25"/>
    <s v="17-Oct-25"/>
    <m/>
    <n v="12000"/>
    <n v="0"/>
    <x v="2"/>
    <n v="2"/>
    <n v="271"/>
    <x v="18"/>
    <x v="2"/>
  </r>
  <r>
    <s v="O0964"/>
    <x v="91"/>
    <x v="0"/>
    <x v="77"/>
    <s v="02-Apr-25"/>
    <s v="02-May-25"/>
    <s v="17-May-25"/>
    <n v="15000"/>
    <n v="15000"/>
    <x v="1"/>
    <n v="2"/>
    <n v="45"/>
    <x v="0"/>
    <x v="1"/>
  </r>
  <r>
    <s v="O0965"/>
    <x v="61"/>
    <x v="0"/>
    <x v="15"/>
    <s v="20-Dec-25"/>
    <s v="19-Jan-26"/>
    <s v="01-Feb-26"/>
    <n v="5000"/>
    <n v="5000"/>
    <x v="1"/>
    <n v="1"/>
    <n v="43"/>
    <x v="0"/>
    <x v="1"/>
  </r>
  <r>
    <s v="O0966"/>
    <x v="48"/>
    <x v="0"/>
    <x v="11"/>
    <s v="23-Feb-25"/>
    <s v="25-Mar-25"/>
    <s v="03-Apr-25"/>
    <n v="100000"/>
    <n v="100000"/>
    <x v="1"/>
    <n v="2"/>
    <n v="39"/>
    <x v="0"/>
    <x v="1"/>
  </r>
  <r>
    <s v="O0967"/>
    <x v="98"/>
    <x v="1"/>
    <x v="291"/>
    <s v="10-Oct-25"/>
    <s v="09-Nov-25"/>
    <s v="03-Nov-25"/>
    <n v="40000"/>
    <n v="40000"/>
    <x v="0"/>
    <n v="2"/>
    <n v="24"/>
    <x v="0"/>
    <x v="0"/>
  </r>
  <r>
    <s v="O0968"/>
    <x v="74"/>
    <x v="0"/>
    <x v="320"/>
    <s v="08-Jul-25"/>
    <s v="07-Aug-25"/>
    <s v="26-Jul-25"/>
    <n v="35000"/>
    <n v="35000"/>
    <x v="0"/>
    <n v="1"/>
    <n v="18"/>
    <x v="0"/>
    <x v="0"/>
  </r>
  <r>
    <s v="O0969"/>
    <x v="80"/>
    <x v="0"/>
    <x v="323"/>
    <s v="12-Jul-25"/>
    <s v="11-Aug-25"/>
    <s v="22-Jul-25"/>
    <n v="12000"/>
    <n v="12000"/>
    <x v="0"/>
    <n v="2"/>
    <n v="10"/>
    <x v="0"/>
    <x v="0"/>
  </r>
  <r>
    <s v="O0970"/>
    <x v="57"/>
    <x v="0"/>
    <x v="39"/>
    <s v="12-Mar-25"/>
    <s v="11-Apr-25"/>
    <m/>
    <n v="40000"/>
    <n v="0"/>
    <x v="2"/>
    <n v="3"/>
    <n v="460"/>
    <x v="16"/>
    <x v="2"/>
  </r>
  <r>
    <s v="O0971"/>
    <x v="86"/>
    <x v="0"/>
    <x v="340"/>
    <s v="20-May-25"/>
    <s v="19-Jun-25"/>
    <s v="06-Jun-25"/>
    <n v="55000"/>
    <n v="55000"/>
    <x v="0"/>
    <n v="1"/>
    <n v="17"/>
    <x v="0"/>
    <x v="0"/>
  </r>
  <r>
    <s v="O0972"/>
    <x v="95"/>
    <x v="1"/>
    <x v="241"/>
    <s v="19-Mar-25"/>
    <s v="18-Apr-25"/>
    <s v="24-Mar-25"/>
    <n v="20000"/>
    <n v="20000"/>
    <x v="0"/>
    <n v="3"/>
    <n v="5"/>
    <x v="0"/>
    <x v="0"/>
  </r>
  <r>
    <s v="O0973"/>
    <x v="49"/>
    <x v="1"/>
    <x v="170"/>
    <s v="06-Aug-25"/>
    <s v="05-Sep-25"/>
    <m/>
    <n v="20000"/>
    <n v="0"/>
    <x v="3"/>
    <n v="2"/>
    <n v="313"/>
    <x v="14"/>
    <x v="2"/>
  </r>
  <r>
    <s v="O0974"/>
    <x v="79"/>
    <x v="0"/>
    <x v="297"/>
    <s v="25-Sep-25"/>
    <s v="25-Oct-25"/>
    <m/>
    <n v="75000"/>
    <n v="0"/>
    <x v="4"/>
    <n v="3"/>
    <n v="263"/>
    <x v="10"/>
    <x v="2"/>
  </r>
  <r>
    <s v="O0975"/>
    <x v="24"/>
    <x v="1"/>
    <x v="130"/>
    <s v="12-May-25"/>
    <s v="11-Jun-25"/>
    <s v="08-Jun-25"/>
    <n v="8000"/>
    <n v="8000"/>
    <x v="0"/>
    <n v="3"/>
    <n v="27"/>
    <x v="0"/>
    <x v="0"/>
  </r>
  <r>
    <s v="O0976"/>
    <x v="12"/>
    <x v="0"/>
    <x v="126"/>
    <s v="01-Feb-25"/>
    <s v="03-Mar-25"/>
    <s v="26-Feb-25"/>
    <n v="50000"/>
    <n v="50000"/>
    <x v="0"/>
    <n v="1"/>
    <n v="25"/>
    <x v="0"/>
    <x v="0"/>
  </r>
  <r>
    <s v="O0977"/>
    <x v="6"/>
    <x v="3"/>
    <x v="121"/>
    <s v="22-Aug-25"/>
    <s v="21-Sep-25"/>
    <s v="07-Sep-25"/>
    <n v="75000"/>
    <n v="75000"/>
    <x v="0"/>
    <n v="3"/>
    <n v="16"/>
    <x v="0"/>
    <x v="0"/>
  </r>
  <r>
    <s v="O0978"/>
    <x v="88"/>
    <x v="0"/>
    <x v="341"/>
    <s v="15-Oct-25"/>
    <s v="14-Nov-25"/>
    <s v="23-Oct-25"/>
    <n v="100000"/>
    <n v="100000"/>
    <x v="0"/>
    <n v="2"/>
    <n v="8"/>
    <x v="0"/>
    <x v="0"/>
  </r>
  <r>
    <s v="O0979"/>
    <x v="51"/>
    <x v="0"/>
    <x v="189"/>
    <s v="17-Dec-25"/>
    <s v="16-Jan-26"/>
    <s v="06-Feb-26"/>
    <n v="30000"/>
    <n v="30000"/>
    <x v="1"/>
    <n v="3"/>
    <n v="51"/>
    <x v="0"/>
    <x v="1"/>
  </r>
  <r>
    <s v="O0980"/>
    <x v="16"/>
    <x v="0"/>
    <x v="144"/>
    <s v="04-Oct-25"/>
    <s v="03-Nov-25"/>
    <s v="30-Oct-25"/>
    <n v="60000"/>
    <n v="60000"/>
    <x v="0"/>
    <n v="1"/>
    <n v="26"/>
    <x v="0"/>
    <x v="0"/>
  </r>
  <r>
    <s v="O0981"/>
    <x v="19"/>
    <x v="0"/>
    <x v="151"/>
    <s v="10-Sep-25"/>
    <s v="10-Oct-25"/>
    <s v="09-Oct-25"/>
    <n v="22000"/>
    <n v="16500"/>
    <x v="5"/>
    <n v="3"/>
    <n v="29"/>
    <x v="20"/>
    <x v="0"/>
  </r>
  <r>
    <s v="O0982"/>
    <x v="43"/>
    <x v="1"/>
    <x v="217"/>
    <s v="29-Aug-25"/>
    <s v="28-Sep-25"/>
    <m/>
    <n v="20000"/>
    <n v="0"/>
    <x v="2"/>
    <n v="3"/>
    <n v="290"/>
    <x v="14"/>
    <x v="2"/>
  </r>
  <r>
    <s v="O0983"/>
    <x v="0"/>
    <x v="0"/>
    <x v="342"/>
    <s v="24-Jun-25"/>
    <s v="24-Jul-25"/>
    <m/>
    <n v="12000"/>
    <n v="0"/>
    <x v="2"/>
    <n v="2"/>
    <n v="356"/>
    <x v="18"/>
    <x v="2"/>
  </r>
  <r>
    <s v="O0984"/>
    <x v="31"/>
    <x v="0"/>
    <x v="8"/>
    <s v="11-Feb-25"/>
    <s v="13-Mar-25"/>
    <s v="26-Feb-25"/>
    <n v="75000"/>
    <n v="75000"/>
    <x v="0"/>
    <n v="1"/>
    <n v="15"/>
    <x v="0"/>
    <x v="0"/>
  </r>
  <r>
    <s v="O0985"/>
    <x v="16"/>
    <x v="0"/>
    <x v="119"/>
    <s v="02-Jun-25"/>
    <s v="02-Jul-25"/>
    <s v="15-Jul-25"/>
    <n v="50000"/>
    <n v="50000"/>
    <x v="1"/>
    <n v="3"/>
    <n v="43"/>
    <x v="0"/>
    <x v="1"/>
  </r>
  <r>
    <s v="O0986"/>
    <x v="75"/>
    <x v="0"/>
    <x v="166"/>
    <s v="18-Aug-25"/>
    <s v="17-Sep-25"/>
    <m/>
    <n v="45000"/>
    <n v="0"/>
    <x v="3"/>
    <n v="2"/>
    <n v="301"/>
    <x v="22"/>
    <x v="2"/>
  </r>
  <r>
    <s v="O0987"/>
    <x v="32"/>
    <x v="0"/>
    <x v="324"/>
    <s v="28-Mar-25"/>
    <s v="27-Apr-25"/>
    <s v="09-Apr-25"/>
    <n v="5000"/>
    <n v="5000"/>
    <x v="0"/>
    <n v="1"/>
    <n v="12"/>
    <x v="0"/>
    <x v="0"/>
  </r>
  <r>
    <s v="O0988"/>
    <x v="39"/>
    <x v="0"/>
    <x v="130"/>
    <s v="12-May-25"/>
    <s v="11-Jun-25"/>
    <s v="29-May-25"/>
    <n v="10000"/>
    <n v="10000"/>
    <x v="0"/>
    <n v="3"/>
    <n v="17"/>
    <x v="0"/>
    <x v="0"/>
  </r>
  <r>
    <s v="O0989"/>
    <x v="33"/>
    <x v="3"/>
    <x v="305"/>
    <s v="19-Feb-25"/>
    <s v="21-Mar-25"/>
    <s v="24-Feb-25"/>
    <n v="35000"/>
    <n v="35000"/>
    <x v="0"/>
    <n v="1"/>
    <n v="5"/>
    <x v="0"/>
    <x v="0"/>
  </r>
  <r>
    <s v="O0990"/>
    <x v="14"/>
    <x v="0"/>
    <x v="266"/>
    <s v="26-Jul-25"/>
    <s v="25-Aug-25"/>
    <s v="19-Aug-25"/>
    <n v="10000"/>
    <n v="10000"/>
    <x v="0"/>
    <n v="3"/>
    <n v="24"/>
    <x v="0"/>
    <x v="0"/>
  </r>
  <r>
    <s v="O0991"/>
    <x v="20"/>
    <x v="2"/>
    <x v="30"/>
    <s v="16-Feb-25"/>
    <s v="18-Mar-25"/>
    <s v="28-Feb-25"/>
    <n v="12000"/>
    <n v="12000"/>
    <x v="0"/>
    <n v="3"/>
    <n v="12"/>
    <x v="0"/>
    <x v="0"/>
  </r>
  <r>
    <s v="O0992"/>
    <x v="1"/>
    <x v="0"/>
    <x v="343"/>
    <s v="28-May-25"/>
    <s v="27-Jun-25"/>
    <s v="07-Jun-25"/>
    <n v="20000"/>
    <n v="20000"/>
    <x v="0"/>
    <n v="2"/>
    <n v="10"/>
    <x v="0"/>
    <x v="0"/>
  </r>
  <r>
    <s v="O0993"/>
    <x v="3"/>
    <x v="2"/>
    <x v="257"/>
    <s v="21-Jan-25"/>
    <s v="20-Feb-25"/>
    <m/>
    <n v="100000"/>
    <n v="0"/>
    <x v="2"/>
    <n v="3"/>
    <n v="510"/>
    <x v="17"/>
    <x v="2"/>
  </r>
  <r>
    <s v="O0994"/>
    <x v="73"/>
    <x v="2"/>
    <x v="82"/>
    <s v="03-Sep-25"/>
    <s v="03-Oct-25"/>
    <s v="13-Oct-25"/>
    <n v="55000"/>
    <n v="27500"/>
    <x v="5"/>
    <n v="2"/>
    <n v="40"/>
    <x v="25"/>
    <x v="1"/>
  </r>
  <r>
    <s v="O0995"/>
    <x v="66"/>
    <x v="3"/>
    <x v="138"/>
    <s v="27-Dec-25"/>
    <s v="26-Jan-26"/>
    <s v="10-Feb-26"/>
    <n v="25000"/>
    <n v="25000"/>
    <x v="1"/>
    <n v="3"/>
    <n v="45"/>
    <x v="0"/>
    <x v="1"/>
  </r>
  <r>
    <s v="O0996"/>
    <x v="79"/>
    <x v="0"/>
    <x v="214"/>
    <s v="25-Nov-25"/>
    <s v="25-Dec-25"/>
    <s v="20-Dec-25"/>
    <n v="18000"/>
    <n v="18000"/>
    <x v="0"/>
    <n v="3"/>
    <n v="25"/>
    <x v="0"/>
    <x v="0"/>
  </r>
  <r>
    <s v="O0997"/>
    <x v="65"/>
    <x v="0"/>
    <x v="81"/>
    <s v="10-Jun-25"/>
    <s v="10-Jul-25"/>
    <s v="17-Jun-25"/>
    <n v="35000"/>
    <n v="35000"/>
    <x v="0"/>
    <n v="2"/>
    <n v="7"/>
    <x v="0"/>
    <x v="0"/>
  </r>
  <r>
    <s v="O0998"/>
    <x v="34"/>
    <x v="0"/>
    <x v="29"/>
    <s v="09-Jun-25"/>
    <s v="09-Jul-25"/>
    <s v="23-Jun-25"/>
    <n v="18000"/>
    <n v="18000"/>
    <x v="0"/>
    <n v="2"/>
    <n v="14"/>
    <x v="0"/>
    <x v="0"/>
  </r>
  <r>
    <s v="O0999"/>
    <x v="21"/>
    <x v="0"/>
    <x v="292"/>
    <s v="04-Jan-25"/>
    <s v="03-Feb-25"/>
    <s v="24-Jan-25"/>
    <n v="20000"/>
    <n v="20000"/>
    <x v="0"/>
    <n v="3"/>
    <n v="20"/>
    <x v="0"/>
    <x v="0"/>
  </r>
  <r>
    <s v="O1000"/>
    <x v="65"/>
    <x v="0"/>
    <x v="344"/>
    <s v="08-Jan-25"/>
    <s v="07-Feb-25"/>
    <m/>
    <n v="35000"/>
    <n v="0"/>
    <x v="3"/>
    <n v="3"/>
    <n v="523"/>
    <x v="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80FE7C-4517-4906-9487-66925EF0FB3D}" name="PivotTable12" cacheId="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OrderValue" fld="1"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2C_Data!$A$1:$O$1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040D24-C9C4-4281-BA35-272D62622932}"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N7" firstHeaderRow="1" firstDataRow="1" firstDataCol="1"/>
  <pivotFields count="14">
    <pivotField showAll="0"/>
    <pivotField showAll="0"/>
    <pivotField showAll="0"/>
    <pivotField showAll="0"/>
    <pivotField showAll="0"/>
    <pivotField showAll="0"/>
    <pivotField showAll="0"/>
    <pivotField numFmtId="3" showAll="0"/>
    <pivotField numFmtId="3" showAll="0"/>
    <pivotField showAll="0"/>
    <pivotField showAll="0"/>
    <pivotField showAll="0"/>
    <pivotField dataField="1" numFmtId="3" showAll="0"/>
    <pivotField axis="axisRow" showAll="0">
      <items count="4">
        <item x="0"/>
        <item x="1"/>
        <item x="2"/>
        <item t="default"/>
      </items>
    </pivotField>
  </pivotFields>
  <rowFields count="1">
    <field x="13"/>
  </rowFields>
  <rowItems count="4">
    <i>
      <x/>
    </i>
    <i>
      <x v="1"/>
    </i>
    <i>
      <x v="2"/>
    </i>
    <i t="grand">
      <x/>
    </i>
  </rowItems>
  <colItems count="1">
    <i/>
  </colItems>
  <dataFields count="1">
    <dataField name="Sum of Outstanding Amount" fld="12" baseField="0" baseItem="0" numFmtId="3"/>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3" count="1" selected="0">
            <x v="0"/>
          </reference>
        </references>
      </pivotArea>
    </chartFormat>
    <chartFormat chart="2" format="7">
      <pivotArea type="data" outline="0" fieldPosition="0">
        <references count="2">
          <reference field="4294967294" count="1" selected="0">
            <x v="0"/>
          </reference>
          <reference field="13" count="1" selected="0">
            <x v="1"/>
          </reference>
        </references>
      </pivotArea>
    </chartFormat>
    <chartFormat chart="2" format="8">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9CB776-5AC3-4EB3-A1D9-F5F2D8F143EC}"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J3:K106" firstHeaderRow="1" firstDataRow="1" firstDataCol="1"/>
  <pivotFields count="14">
    <pivotField showAll="0"/>
    <pivotField axis="axisRow" showAll="0" sortType="descending">
      <items count="103">
        <item x="6"/>
        <item x="16"/>
        <item x="78"/>
        <item x="54"/>
        <item x="24"/>
        <item x="39"/>
        <item x="64"/>
        <item x="33"/>
        <item x="94"/>
        <item x="59"/>
        <item x="83"/>
        <item x="92"/>
        <item x="89"/>
        <item x="42"/>
        <item x="61"/>
        <item x="55"/>
        <item x="19"/>
        <item x="73"/>
        <item x="41"/>
        <item x="50"/>
        <item x="69"/>
        <item x="74"/>
        <item x="13"/>
        <item x="66"/>
        <item x="2"/>
        <item x="51"/>
        <item x="58"/>
        <item x="100"/>
        <item x="97"/>
        <item x="65"/>
        <item x="20"/>
        <item x="3"/>
        <item x="26"/>
        <item x="25"/>
        <item x="12"/>
        <item x="31"/>
        <item x="62"/>
        <item x="77"/>
        <item x="28"/>
        <item x="80"/>
        <item x="47"/>
        <item x="87"/>
        <item x="49"/>
        <item x="88"/>
        <item x="8"/>
        <item x="76"/>
        <item x="98"/>
        <item x="63"/>
        <item x="30"/>
        <item x="72"/>
        <item x="46"/>
        <item x="99"/>
        <item x="27"/>
        <item x="53"/>
        <item x="86"/>
        <item x="57"/>
        <item x="95"/>
        <item x="15"/>
        <item x="7"/>
        <item x="21"/>
        <item x="32"/>
        <item x="48"/>
        <item x="40"/>
        <item x="35"/>
        <item x="68"/>
        <item x="38"/>
        <item x="1"/>
        <item x="29"/>
        <item x="4"/>
        <item x="93"/>
        <item x="18"/>
        <item x="84"/>
        <item x="82"/>
        <item x="11"/>
        <item x="45"/>
        <item x="10"/>
        <item x="22"/>
        <item x="56"/>
        <item x="52"/>
        <item x="85"/>
        <item x="23"/>
        <item x="44"/>
        <item x="34"/>
        <item x="17"/>
        <item x="60"/>
        <item x="14"/>
        <item x="81"/>
        <item x="71"/>
        <item x="9"/>
        <item x="91"/>
        <item x="90"/>
        <item x="36"/>
        <item x="79"/>
        <item x="75"/>
        <item x="70"/>
        <item x="5"/>
        <item x="37"/>
        <item x="0"/>
        <item x="101"/>
        <item x="96"/>
        <item x="67"/>
        <item x="4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3" showAll="0"/>
    <pivotField numFmtId="3" showAll="0"/>
    <pivotField showAll="0"/>
    <pivotField showAll="0"/>
    <pivotField showAll="0"/>
    <pivotField dataField="1" numFmtId="3" showAll="0">
      <items count="38">
        <item x="0"/>
        <item x="28"/>
        <item x="13"/>
        <item x="35"/>
        <item x="15"/>
        <item x="20"/>
        <item x="19"/>
        <item x="5"/>
        <item x="34"/>
        <item x="30"/>
        <item x="9"/>
        <item x="27"/>
        <item x="18"/>
        <item x="26"/>
        <item x="32"/>
        <item x="31"/>
        <item x="2"/>
        <item x="8"/>
        <item x="29"/>
        <item x="14"/>
        <item x="21"/>
        <item x="6"/>
        <item x="12"/>
        <item x="33"/>
        <item x="25"/>
        <item x="4"/>
        <item x="7"/>
        <item x="23"/>
        <item x="16"/>
        <item x="24"/>
        <item x="22"/>
        <item x="1"/>
        <item x="11"/>
        <item x="36"/>
        <item x="3"/>
        <item x="10"/>
        <item x="17"/>
        <item t="default"/>
      </items>
    </pivotField>
    <pivotField showAll="0"/>
  </pivotFields>
  <rowFields count="1">
    <field x="1"/>
  </rowFields>
  <rowItems count="103">
    <i>
      <x v="74"/>
    </i>
    <i>
      <x v="43"/>
    </i>
    <i>
      <x v="67"/>
    </i>
    <i>
      <x v="23"/>
    </i>
    <i>
      <x v="9"/>
    </i>
    <i>
      <x v="55"/>
    </i>
    <i>
      <x v="26"/>
    </i>
    <i>
      <x v="44"/>
    </i>
    <i>
      <x v="96"/>
    </i>
    <i>
      <x v="63"/>
    </i>
    <i>
      <x v="87"/>
    </i>
    <i>
      <x v="45"/>
    </i>
    <i>
      <x v="65"/>
    </i>
    <i>
      <x v="52"/>
    </i>
    <i>
      <x v="100"/>
    </i>
    <i>
      <x v="7"/>
    </i>
    <i>
      <x v="51"/>
    </i>
    <i>
      <x v="92"/>
    </i>
    <i>
      <x v="4"/>
    </i>
    <i>
      <x v="31"/>
    </i>
    <i>
      <x v="14"/>
    </i>
    <i>
      <x v="91"/>
    </i>
    <i>
      <x v="42"/>
    </i>
    <i>
      <x v="70"/>
    </i>
    <i>
      <x v="13"/>
    </i>
    <i>
      <x v="34"/>
    </i>
    <i>
      <x v="93"/>
    </i>
    <i>
      <x v="75"/>
    </i>
    <i>
      <x v="97"/>
    </i>
    <i>
      <x v="41"/>
    </i>
    <i>
      <x v="50"/>
    </i>
    <i>
      <x v="49"/>
    </i>
    <i>
      <x v="71"/>
    </i>
    <i>
      <x v="15"/>
    </i>
    <i>
      <x v="24"/>
    </i>
    <i>
      <x v="86"/>
    </i>
    <i>
      <x v="79"/>
    </i>
    <i>
      <x v="19"/>
    </i>
    <i>
      <x/>
    </i>
    <i>
      <x v="21"/>
    </i>
    <i>
      <x v="57"/>
    </i>
    <i>
      <x v="83"/>
    </i>
    <i>
      <x v="64"/>
    </i>
    <i>
      <x v="17"/>
    </i>
    <i>
      <x v="80"/>
    </i>
    <i>
      <x v="101"/>
    </i>
    <i>
      <x v="18"/>
    </i>
    <i>
      <x v="78"/>
    </i>
    <i>
      <x v="48"/>
    </i>
    <i>
      <x v="16"/>
    </i>
    <i>
      <x v="95"/>
    </i>
    <i>
      <x v="72"/>
    </i>
    <i>
      <x v="94"/>
    </i>
    <i>
      <x v="98"/>
    </i>
    <i>
      <x v="40"/>
    </i>
    <i>
      <x v="58"/>
    </i>
    <i>
      <x v="90"/>
    </i>
    <i>
      <x v="20"/>
    </i>
    <i>
      <x v="66"/>
    </i>
    <i>
      <x v="37"/>
    </i>
    <i>
      <x v="46"/>
    </i>
    <i>
      <x v="99"/>
    </i>
    <i>
      <x v="89"/>
    </i>
    <i>
      <x v="39"/>
    </i>
    <i>
      <x v="61"/>
    </i>
    <i>
      <x v="22"/>
    </i>
    <i>
      <x v="62"/>
    </i>
    <i>
      <x v="36"/>
    </i>
    <i>
      <x v="81"/>
    </i>
    <i>
      <x v="28"/>
    </i>
    <i>
      <x v="60"/>
    </i>
    <i>
      <x v="54"/>
    </i>
    <i>
      <x v="12"/>
    </i>
    <i>
      <x v="2"/>
    </i>
    <i>
      <x v="38"/>
    </i>
    <i>
      <x v="85"/>
    </i>
    <i>
      <x v="84"/>
    </i>
    <i>
      <x v="11"/>
    </i>
    <i>
      <x v="32"/>
    </i>
    <i>
      <x v="3"/>
    </i>
    <i>
      <x v="6"/>
    </i>
    <i>
      <x v="1"/>
    </i>
    <i>
      <x v="77"/>
    </i>
    <i>
      <x v="59"/>
    </i>
    <i>
      <x v="29"/>
    </i>
    <i>
      <x v="33"/>
    </i>
    <i>
      <x v="88"/>
    </i>
    <i>
      <x v="53"/>
    </i>
    <i>
      <x v="30"/>
    </i>
    <i>
      <x v="56"/>
    </i>
    <i>
      <x v="69"/>
    </i>
    <i>
      <x v="25"/>
    </i>
    <i>
      <x v="68"/>
    </i>
    <i>
      <x v="73"/>
    </i>
    <i>
      <x v="8"/>
    </i>
    <i>
      <x v="35"/>
    </i>
    <i>
      <x v="47"/>
    </i>
    <i>
      <x v="5"/>
    </i>
    <i>
      <x v="27"/>
    </i>
    <i>
      <x v="10"/>
    </i>
    <i>
      <x v="76"/>
    </i>
    <i>
      <x v="82"/>
    </i>
    <i t="grand">
      <x/>
    </i>
  </rowItems>
  <colItems count="1">
    <i/>
  </colItems>
  <dataFields count="1">
    <dataField name="Sum of Outstanding Amount" fld="12" baseField="0" baseItem="0" numFmtId="3"/>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EC859B-9F4F-4C2D-90A2-6E8C8EE4578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3:H8" firstHeaderRow="1" firstDataRow="1" firstDataCol="1"/>
  <pivotFields count="14">
    <pivotField showAll="0"/>
    <pivotField showAll="0"/>
    <pivotField axis="axisRow" showAll="0">
      <items count="5">
        <item x="3"/>
        <item x="1"/>
        <item x="2"/>
        <item x="0"/>
        <item t="default"/>
      </items>
    </pivotField>
    <pivotField showAll="0"/>
    <pivotField showAll="0"/>
    <pivotField showAll="0"/>
    <pivotField showAll="0"/>
    <pivotField numFmtId="3" showAll="0"/>
    <pivotField dataField="1" numFmtId="3" showAll="0"/>
    <pivotField showAll="0"/>
    <pivotField showAll="0"/>
    <pivotField showAll="0"/>
    <pivotField numFmtId="3" showAll="0"/>
    <pivotField showAll="0"/>
  </pivotFields>
  <rowFields count="1">
    <field x="2"/>
  </rowFields>
  <rowItems count="5">
    <i>
      <x/>
    </i>
    <i>
      <x v="1"/>
    </i>
    <i>
      <x v="2"/>
    </i>
    <i>
      <x v="3"/>
    </i>
    <i t="grand">
      <x/>
    </i>
  </rowItems>
  <colItems count="1">
    <i/>
  </colItems>
  <dataFields count="1">
    <dataField name="Sum of AmountPaid" fld="8" baseField="0"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249542-2367-42F2-B93E-4475780A79A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Region">
  <location ref="A3:B8" firstHeaderRow="1" firstDataRow="1" firstDataCol="1"/>
  <pivotFields count="14">
    <pivotField showAll="0"/>
    <pivotField showAll="0">
      <items count="103">
        <item x="6"/>
        <item x="16"/>
        <item x="78"/>
        <item x="54"/>
        <item x="24"/>
        <item x="39"/>
        <item x="64"/>
        <item x="33"/>
        <item x="94"/>
        <item x="59"/>
        <item x="83"/>
        <item x="92"/>
        <item x="89"/>
        <item x="42"/>
        <item x="61"/>
        <item x="55"/>
        <item x="19"/>
        <item x="73"/>
        <item x="41"/>
        <item x="50"/>
        <item x="69"/>
        <item x="74"/>
        <item x="13"/>
        <item x="66"/>
        <item x="2"/>
        <item x="51"/>
        <item x="58"/>
        <item x="100"/>
        <item x="97"/>
        <item x="65"/>
        <item x="20"/>
        <item x="3"/>
        <item x="26"/>
        <item x="25"/>
        <item x="12"/>
        <item x="31"/>
        <item x="62"/>
        <item x="77"/>
        <item x="28"/>
        <item x="80"/>
        <item x="47"/>
        <item x="87"/>
        <item x="49"/>
        <item x="88"/>
        <item x="8"/>
        <item x="76"/>
        <item x="98"/>
        <item x="63"/>
        <item x="30"/>
        <item x="72"/>
        <item x="46"/>
        <item x="99"/>
        <item x="27"/>
        <item x="53"/>
        <item x="86"/>
        <item x="57"/>
        <item x="95"/>
        <item x="15"/>
        <item x="7"/>
        <item x="21"/>
        <item x="32"/>
        <item x="48"/>
        <item x="40"/>
        <item x="35"/>
        <item x="68"/>
        <item x="38"/>
        <item x="1"/>
        <item x="29"/>
        <item x="4"/>
        <item x="93"/>
        <item x="18"/>
        <item x="84"/>
        <item x="82"/>
        <item x="11"/>
        <item x="45"/>
        <item x="10"/>
        <item x="22"/>
        <item x="56"/>
        <item x="52"/>
        <item x="85"/>
        <item x="23"/>
        <item x="44"/>
        <item x="34"/>
        <item x="17"/>
        <item x="60"/>
        <item x="14"/>
        <item x="81"/>
        <item x="71"/>
        <item x="9"/>
        <item x="91"/>
        <item x="90"/>
        <item x="36"/>
        <item x="79"/>
        <item x="75"/>
        <item x="70"/>
        <item x="5"/>
        <item x="37"/>
        <item x="0"/>
        <item x="101"/>
        <item x="96"/>
        <item x="67"/>
        <item x="43"/>
        <item t="default"/>
      </items>
    </pivotField>
    <pivotField axis="axisRow" showAll="0">
      <items count="5">
        <item x="3"/>
        <item x="1"/>
        <item x="2"/>
        <item x="0"/>
        <item t="default"/>
      </items>
    </pivotField>
    <pivotField showAll="0">
      <items count="346">
        <item x="84"/>
        <item x="142"/>
        <item x="57"/>
        <item x="42"/>
        <item x="292"/>
        <item x="65"/>
        <item x="117"/>
        <item x="312"/>
        <item x="252"/>
        <item x="51"/>
        <item x="118"/>
        <item x="82"/>
        <item x="26"/>
        <item x="213"/>
        <item x="79"/>
        <item x="35"/>
        <item x="61"/>
        <item x="339"/>
        <item x="143"/>
        <item x="331"/>
        <item x="205"/>
        <item x="22"/>
        <item x="212"/>
        <item x="318"/>
        <item x="132"/>
        <item x="234"/>
        <item x="136"/>
        <item x="338"/>
        <item x="6"/>
        <item x="237"/>
        <item x="114"/>
        <item x="123"/>
        <item x="129"/>
        <item x="144"/>
        <item x="174"/>
        <item x="44"/>
        <item x="170"/>
        <item x="215"/>
        <item x="337"/>
        <item x="272"/>
        <item x="210"/>
        <item x="85"/>
        <item x="232"/>
        <item x="106"/>
        <item x="90"/>
        <item x="159"/>
        <item x="115"/>
        <item x="285"/>
        <item x="10"/>
        <item x="278"/>
        <item x="344"/>
        <item x="9"/>
        <item x="164"/>
        <item x="332"/>
        <item x="141"/>
        <item x="96"/>
        <item x="92"/>
        <item x="282"/>
        <item x="269"/>
        <item x="221"/>
        <item x="58"/>
        <item x="330"/>
        <item x="296"/>
        <item x="335"/>
        <item x="68"/>
        <item x="168"/>
        <item x="206"/>
        <item x="167"/>
        <item x="187"/>
        <item x="294"/>
        <item x="176"/>
        <item x="280"/>
        <item x="227"/>
        <item x="325"/>
        <item x="320"/>
        <item x="29"/>
        <item x="316"/>
        <item x="270"/>
        <item x="73"/>
        <item x="222"/>
        <item x="151"/>
        <item x="40"/>
        <item x="293"/>
        <item x="160"/>
        <item x="250"/>
        <item x="103"/>
        <item x="81"/>
        <item x="169"/>
        <item x="43"/>
        <item x="209"/>
        <item x="291"/>
        <item x="107"/>
        <item x="265"/>
        <item x="191"/>
        <item x="53"/>
        <item x="89"/>
        <item x="12"/>
        <item x="104"/>
        <item x="39"/>
        <item x="130"/>
        <item x="110"/>
        <item x="45"/>
        <item x="268"/>
        <item x="83"/>
        <item x="178"/>
        <item x="54"/>
        <item x="8"/>
        <item x="99"/>
        <item x="323"/>
        <item x="230"/>
        <item x="255"/>
        <item x="279"/>
        <item x="86"/>
        <item x="63"/>
        <item x="20"/>
        <item x="300"/>
        <item x="161"/>
        <item x="34"/>
        <item x="198"/>
        <item x="302"/>
        <item x="74"/>
        <item x="182"/>
        <item x="59"/>
        <item x="246"/>
        <item x="105"/>
        <item x="109"/>
        <item x="150"/>
        <item x="207"/>
        <item x="157"/>
        <item x="336"/>
        <item x="333"/>
        <item x="190"/>
        <item x="261"/>
        <item x="244"/>
        <item x="48"/>
        <item x="306"/>
        <item x="101"/>
        <item x="201"/>
        <item x="290"/>
        <item x="30"/>
        <item x="254"/>
        <item x="299"/>
        <item x="236"/>
        <item x="186"/>
        <item x="341"/>
        <item x="18"/>
        <item x="243"/>
        <item x="219"/>
        <item x="189"/>
        <item x="225"/>
        <item x="98"/>
        <item x="239"/>
        <item x="259"/>
        <item x="281"/>
        <item x="251"/>
        <item x="275"/>
        <item x="192"/>
        <item x="137"/>
        <item x="62"/>
        <item x="23"/>
        <item x="195"/>
        <item x="71"/>
        <item x="67"/>
        <item x="135"/>
        <item x="317"/>
        <item x="313"/>
        <item x="211"/>
        <item x="3"/>
        <item x="149"/>
        <item x="284"/>
        <item x="166"/>
        <item x="276"/>
        <item x="183"/>
        <item x="2"/>
        <item x="267"/>
        <item x="194"/>
        <item x="241"/>
        <item x="32"/>
        <item x="75"/>
        <item x="287"/>
        <item x="122"/>
        <item x="224"/>
        <item x="152"/>
        <item x="46"/>
        <item x="148"/>
        <item x="162"/>
        <item x="303"/>
        <item x="24"/>
        <item x="125"/>
        <item x="154"/>
        <item x="76"/>
        <item x="171"/>
        <item x="120"/>
        <item x="305"/>
        <item x="257"/>
        <item x="165"/>
        <item x="69"/>
        <item x="203"/>
        <item x="17"/>
        <item x="21"/>
        <item x="185"/>
        <item x="140"/>
        <item x="180"/>
        <item x="121"/>
        <item x="15"/>
        <item x="233"/>
        <item x="334"/>
        <item x="95"/>
        <item x="238"/>
        <item x="200"/>
        <item x="340"/>
        <item x="329"/>
        <item x="260"/>
        <item x="80"/>
        <item x="307"/>
        <item x="283"/>
        <item x="33"/>
        <item x="153"/>
        <item x="235"/>
        <item x="91"/>
        <item x="218"/>
        <item x="146"/>
        <item x="188"/>
        <item x="295"/>
        <item x="25"/>
        <item x="220"/>
        <item x="11"/>
        <item x="64"/>
        <item x="309"/>
        <item x="298"/>
        <item x="5"/>
        <item x="264"/>
        <item x="193"/>
        <item x="38"/>
        <item x="315"/>
        <item x="145"/>
        <item x="319"/>
        <item x="1"/>
        <item x="199"/>
        <item x="342"/>
        <item x="56"/>
        <item x="88"/>
        <item x="214"/>
        <item x="94"/>
        <item x="297"/>
        <item x="36"/>
        <item x="55"/>
        <item x="208"/>
        <item x="216"/>
        <item x="147"/>
        <item x="266"/>
        <item x="175"/>
        <item x="87"/>
        <item x="4"/>
        <item x="326"/>
        <item x="228"/>
        <item x="223"/>
        <item x="172"/>
        <item x="7"/>
        <item x="138"/>
        <item x="274"/>
        <item x="322"/>
        <item x="231"/>
        <item x="184"/>
        <item x="134"/>
        <item x="111"/>
        <item x="27"/>
        <item x="52"/>
        <item x="173"/>
        <item x="226"/>
        <item x="14"/>
        <item x="163"/>
        <item x="72"/>
        <item x="263"/>
        <item x="47"/>
        <item x="60"/>
        <item x="249"/>
        <item x="202"/>
        <item x="247"/>
        <item x="113"/>
        <item x="314"/>
        <item x="181"/>
        <item x="217"/>
        <item x="289"/>
        <item x="321"/>
        <item x="50"/>
        <item x="128"/>
        <item x="253"/>
        <item x="97"/>
        <item x="343"/>
        <item x="240"/>
        <item x="19"/>
        <item x="196"/>
        <item x="156"/>
        <item x="328"/>
        <item x="0"/>
        <item x="179"/>
        <item x="304"/>
        <item x="242"/>
        <item x="324"/>
        <item x="78"/>
        <item x="158"/>
        <item x="93"/>
        <item x="204"/>
        <item x="37"/>
        <item x="248"/>
        <item x="124"/>
        <item x="102"/>
        <item x="310"/>
        <item x="139"/>
        <item x="197"/>
        <item x="273"/>
        <item x="127"/>
        <item x="13"/>
        <item x="131"/>
        <item x="256"/>
        <item x="155"/>
        <item x="133"/>
        <item x="277"/>
        <item x="16"/>
        <item x="327"/>
        <item x="70"/>
        <item x="311"/>
        <item x="229"/>
        <item x="100"/>
        <item x="116"/>
        <item x="28"/>
        <item x="308"/>
        <item x="245"/>
        <item x="288"/>
        <item x="49"/>
        <item x="41"/>
        <item x="262"/>
        <item x="286"/>
        <item x="119"/>
        <item x="108"/>
        <item x="258"/>
        <item x="31"/>
        <item x="177"/>
        <item x="271"/>
        <item x="126"/>
        <item x="66"/>
        <item x="77"/>
        <item x="112"/>
        <item x="301"/>
        <item t="default"/>
      </items>
    </pivotField>
    <pivotField showAll="0"/>
    <pivotField showAll="0"/>
    <pivotField showAll="0"/>
    <pivotField dataField="1" numFmtId="3" showAll="0"/>
    <pivotField numFmtId="3" showAll="0"/>
    <pivotField showAll="0">
      <items count="7">
        <item x="3"/>
        <item x="4"/>
        <item x="2"/>
        <item x="0"/>
        <item x="1"/>
        <item x="5"/>
        <item t="default"/>
      </items>
    </pivotField>
    <pivotField showAll="0"/>
    <pivotField showAll="0"/>
    <pivotField numFmtId="3" showAll="0"/>
    <pivotField showAll="0"/>
  </pivotFields>
  <rowFields count="1">
    <field x="2"/>
  </rowFields>
  <rowItems count="5">
    <i>
      <x/>
    </i>
    <i>
      <x v="1"/>
    </i>
    <i>
      <x v="2"/>
    </i>
    <i>
      <x v="3"/>
    </i>
    <i t="grand">
      <x/>
    </i>
  </rowItems>
  <colItems count="1">
    <i/>
  </colItems>
  <dataFields count="1">
    <dataField name="Sum of Revenue" fld="7" baseField="2" baseItem="0" numFmtId="3"/>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201CE228-08E8-4957-A820-93B425E12182}" sourceName="Status">
  <pivotTables>
    <pivotTable tabId="3" name="PivotTable1"/>
  </pivotTables>
  <data>
    <tabular pivotCacheId="977476313">
      <items count="6">
        <i x="3" s="1"/>
        <i x="4" s="1"/>
        <i x="2" s="1"/>
        <i x="0"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1557340E-AB16-464D-B194-71D241FF1E90}" sourceName="Customer">
  <pivotTables>
    <pivotTable tabId="3" name="PivotTable1"/>
  </pivotTables>
  <data>
    <tabular pivotCacheId="977476313">
      <items count="102">
        <i x="6" s="1"/>
        <i x="16" s="1"/>
        <i x="78" s="1"/>
        <i x="54" s="1"/>
        <i x="24" s="1"/>
        <i x="39" s="1"/>
        <i x="64" s="1"/>
        <i x="33" s="1"/>
        <i x="94" s="1"/>
        <i x="59" s="1"/>
        <i x="83" s="1"/>
        <i x="92" s="1"/>
        <i x="89" s="1"/>
        <i x="42" s="1"/>
        <i x="61" s="1"/>
        <i x="55" s="1"/>
        <i x="19" s="1"/>
        <i x="73" s="1"/>
        <i x="41" s="1"/>
        <i x="50" s="1"/>
        <i x="69" s="1"/>
        <i x="74" s="1"/>
        <i x="13" s="1"/>
        <i x="66" s="1"/>
        <i x="2" s="1"/>
        <i x="51" s="1"/>
        <i x="58" s="1"/>
        <i x="100" s="1"/>
        <i x="97" s="1"/>
        <i x="65" s="1"/>
        <i x="20" s="1"/>
        <i x="3" s="1"/>
        <i x="26" s="1"/>
        <i x="25" s="1"/>
        <i x="12" s="1"/>
        <i x="31" s="1"/>
        <i x="62" s="1"/>
        <i x="77" s="1"/>
        <i x="28" s="1"/>
        <i x="80" s="1"/>
        <i x="47" s="1"/>
        <i x="87" s="1"/>
        <i x="49" s="1"/>
        <i x="88" s="1"/>
        <i x="8" s="1"/>
        <i x="76" s="1"/>
        <i x="98" s="1"/>
        <i x="63" s="1"/>
        <i x="30" s="1"/>
        <i x="72" s="1"/>
        <i x="46" s="1"/>
        <i x="99" s="1"/>
        <i x="27" s="1"/>
        <i x="53" s="1"/>
        <i x="86" s="1"/>
        <i x="57" s="1"/>
        <i x="95" s="1"/>
        <i x="15" s="1"/>
        <i x="7" s="1"/>
        <i x="21" s="1"/>
        <i x="32" s="1"/>
        <i x="48" s="1"/>
        <i x="40" s="1"/>
        <i x="35" s="1"/>
        <i x="68" s="1"/>
        <i x="38" s="1"/>
        <i x="1" s="1"/>
        <i x="29" s="1"/>
        <i x="4" s="1"/>
        <i x="93" s="1"/>
        <i x="18" s="1"/>
        <i x="84" s="1"/>
        <i x="82" s="1"/>
        <i x="11" s="1"/>
        <i x="45" s="1"/>
        <i x="10" s="1"/>
        <i x="22" s="1"/>
        <i x="56" s="1"/>
        <i x="52" s="1"/>
        <i x="85" s="1"/>
        <i x="23" s="1"/>
        <i x="44" s="1"/>
        <i x="34" s="1"/>
        <i x="17" s="1"/>
        <i x="60" s="1"/>
        <i x="14" s="1"/>
        <i x="81" s="1"/>
        <i x="71" s="1"/>
        <i x="9" s="1"/>
        <i x="91" s="1"/>
        <i x="90" s="1"/>
        <i x="36" s="1"/>
        <i x="79" s="1"/>
        <i x="75" s="1"/>
        <i x="70" s="1"/>
        <i x="5" s="1"/>
        <i x="37" s="1"/>
        <i x="0" s="1"/>
        <i x="101" s="1"/>
        <i x="96" s="1"/>
        <i x="67" s="1"/>
        <i x="4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AF1FD72B-70C4-471D-8A64-E197CDD537D5}" sourceName="OrderDate">
  <pivotTables>
    <pivotTable tabId="3" name="PivotTable1"/>
  </pivotTables>
  <data>
    <tabular pivotCacheId="977476313">
      <items count="345">
        <i x="84" s="1"/>
        <i x="142" s="1"/>
        <i x="57" s="1"/>
        <i x="42" s="1"/>
        <i x="292" s="1"/>
        <i x="65" s="1"/>
        <i x="117" s="1"/>
        <i x="312" s="1"/>
        <i x="252" s="1"/>
        <i x="51" s="1"/>
        <i x="118" s="1"/>
        <i x="82" s="1"/>
        <i x="26" s="1"/>
        <i x="213" s="1"/>
        <i x="79" s="1"/>
        <i x="35" s="1"/>
        <i x="61" s="1"/>
        <i x="339" s="1"/>
        <i x="143" s="1"/>
        <i x="331" s="1"/>
        <i x="205" s="1"/>
        <i x="22" s="1"/>
        <i x="212" s="1"/>
        <i x="318" s="1"/>
        <i x="132" s="1"/>
        <i x="234" s="1"/>
        <i x="136" s="1"/>
        <i x="338" s="1"/>
        <i x="6" s="1"/>
        <i x="237" s="1"/>
        <i x="114" s="1"/>
        <i x="123" s="1"/>
        <i x="129" s="1"/>
        <i x="144" s="1"/>
        <i x="174" s="1"/>
        <i x="44" s="1"/>
        <i x="170" s="1"/>
        <i x="215" s="1"/>
        <i x="337" s="1"/>
        <i x="272" s="1"/>
        <i x="210" s="1"/>
        <i x="85" s="1"/>
        <i x="232" s="1"/>
        <i x="106" s="1"/>
        <i x="90" s="1"/>
        <i x="159" s="1"/>
        <i x="115" s="1"/>
        <i x="285" s="1"/>
        <i x="10" s="1"/>
        <i x="278" s="1"/>
        <i x="344" s="1"/>
        <i x="9" s="1"/>
        <i x="164" s="1"/>
        <i x="332" s="1"/>
        <i x="141" s="1"/>
        <i x="96" s="1"/>
        <i x="92" s="1"/>
        <i x="282" s="1"/>
        <i x="269" s="1"/>
        <i x="221" s="1"/>
        <i x="58" s="1"/>
        <i x="330" s="1"/>
        <i x="296" s="1"/>
        <i x="335" s="1"/>
        <i x="68" s="1"/>
        <i x="168" s="1"/>
        <i x="206" s="1"/>
        <i x="167" s="1"/>
        <i x="187" s="1"/>
        <i x="294" s="1"/>
        <i x="176" s="1"/>
        <i x="280" s="1"/>
        <i x="227" s="1"/>
        <i x="325" s="1"/>
        <i x="320" s="1"/>
        <i x="29" s="1"/>
        <i x="316" s="1"/>
        <i x="270" s="1"/>
        <i x="73" s="1"/>
        <i x="222" s="1"/>
        <i x="151" s="1"/>
        <i x="40" s="1"/>
        <i x="293" s="1"/>
        <i x="160" s="1"/>
        <i x="250" s="1"/>
        <i x="103" s="1"/>
        <i x="81" s="1"/>
        <i x="169" s="1"/>
        <i x="43" s="1"/>
        <i x="209" s="1"/>
        <i x="291" s="1"/>
        <i x="107" s="1"/>
        <i x="265" s="1"/>
        <i x="191" s="1"/>
        <i x="53" s="1"/>
        <i x="89" s="1"/>
        <i x="12" s="1"/>
        <i x="104" s="1"/>
        <i x="39" s="1"/>
        <i x="130" s="1"/>
        <i x="110" s="1"/>
        <i x="45" s="1"/>
        <i x="268" s="1"/>
        <i x="83" s="1"/>
        <i x="178" s="1"/>
        <i x="54" s="1"/>
        <i x="8" s="1"/>
        <i x="99" s="1"/>
        <i x="323" s="1"/>
        <i x="230" s="1"/>
        <i x="255" s="1"/>
        <i x="279" s="1"/>
        <i x="86" s="1"/>
        <i x="63" s="1"/>
        <i x="20" s="1"/>
        <i x="300" s="1"/>
        <i x="161" s="1"/>
        <i x="34" s="1"/>
        <i x="198" s="1"/>
        <i x="302" s="1"/>
        <i x="74" s="1"/>
        <i x="182" s="1"/>
        <i x="59" s="1"/>
        <i x="246" s="1"/>
        <i x="105" s="1"/>
        <i x="109" s="1"/>
        <i x="150" s="1"/>
        <i x="207" s="1"/>
        <i x="157" s="1"/>
        <i x="336" s="1"/>
        <i x="333" s="1"/>
        <i x="190" s="1"/>
        <i x="261" s="1"/>
        <i x="244" s="1"/>
        <i x="48" s="1"/>
        <i x="306" s="1"/>
        <i x="101" s="1"/>
        <i x="201" s="1"/>
        <i x="290" s="1"/>
        <i x="30" s="1"/>
        <i x="254" s="1"/>
        <i x="299" s="1"/>
        <i x="236" s="1"/>
        <i x="186" s="1"/>
        <i x="341" s="1"/>
        <i x="18" s="1"/>
        <i x="243" s="1"/>
        <i x="219" s="1"/>
        <i x="189" s="1"/>
        <i x="225" s="1"/>
        <i x="98" s="1"/>
        <i x="239" s="1"/>
        <i x="259" s="1"/>
        <i x="281" s="1"/>
        <i x="251" s="1"/>
        <i x="275" s="1"/>
        <i x="192" s="1"/>
        <i x="137" s="1"/>
        <i x="62" s="1"/>
        <i x="23" s="1"/>
        <i x="195" s="1"/>
        <i x="71" s="1"/>
        <i x="67" s="1"/>
        <i x="135" s="1"/>
        <i x="317" s="1"/>
        <i x="313" s="1"/>
        <i x="211" s="1"/>
        <i x="3" s="1"/>
        <i x="149" s="1"/>
        <i x="284" s="1"/>
        <i x="166" s="1"/>
        <i x="276" s="1"/>
        <i x="183" s="1"/>
        <i x="2" s="1"/>
        <i x="267" s="1"/>
        <i x="194" s="1"/>
        <i x="241" s="1"/>
        <i x="32" s="1"/>
        <i x="75" s="1"/>
        <i x="287" s="1"/>
        <i x="122" s="1"/>
        <i x="224" s="1"/>
        <i x="152" s="1"/>
        <i x="46" s="1"/>
        <i x="148" s="1"/>
        <i x="162" s="1"/>
        <i x="303" s="1"/>
        <i x="24" s="1"/>
        <i x="125" s="1"/>
        <i x="154" s="1"/>
        <i x="76" s="1"/>
        <i x="171" s="1"/>
        <i x="120" s="1"/>
        <i x="305" s="1"/>
        <i x="257" s="1"/>
        <i x="165" s="1"/>
        <i x="69" s="1"/>
        <i x="203" s="1"/>
        <i x="17" s="1"/>
        <i x="21" s="1"/>
        <i x="185" s="1"/>
        <i x="140" s="1"/>
        <i x="180" s="1"/>
        <i x="121" s="1"/>
        <i x="15" s="1"/>
        <i x="233" s="1"/>
        <i x="334" s="1"/>
        <i x="95" s="1"/>
        <i x="238" s="1"/>
        <i x="200" s="1"/>
        <i x="340" s="1"/>
        <i x="329" s="1"/>
        <i x="260" s="1"/>
        <i x="80" s="1"/>
        <i x="307" s="1"/>
        <i x="283" s="1"/>
        <i x="33" s="1"/>
        <i x="153" s="1"/>
        <i x="235" s="1"/>
        <i x="91" s="1"/>
        <i x="218" s="1"/>
        <i x="146" s="1"/>
        <i x="188" s="1"/>
        <i x="295" s="1"/>
        <i x="25" s="1"/>
        <i x="220" s="1"/>
        <i x="11" s="1"/>
        <i x="64" s="1"/>
        <i x="309" s="1"/>
        <i x="298" s="1"/>
        <i x="5" s="1"/>
        <i x="264" s="1"/>
        <i x="193" s="1"/>
        <i x="38" s="1"/>
        <i x="315" s="1"/>
        <i x="145" s="1"/>
        <i x="319" s="1"/>
        <i x="1" s="1"/>
        <i x="199" s="1"/>
        <i x="342" s="1"/>
        <i x="56" s="1"/>
        <i x="88" s="1"/>
        <i x="214" s="1"/>
        <i x="94" s="1"/>
        <i x="297" s="1"/>
        <i x="36" s="1"/>
        <i x="55" s="1"/>
        <i x="208" s="1"/>
        <i x="216" s="1"/>
        <i x="147" s="1"/>
        <i x="266" s="1"/>
        <i x="175" s="1"/>
        <i x="87" s="1"/>
        <i x="4" s="1"/>
        <i x="326" s="1"/>
        <i x="228" s="1"/>
        <i x="223" s="1"/>
        <i x="172" s="1"/>
        <i x="7" s="1"/>
        <i x="138" s="1"/>
        <i x="274" s="1"/>
        <i x="322" s="1"/>
        <i x="231" s="1"/>
        <i x="184" s="1"/>
        <i x="134" s="1"/>
        <i x="111" s="1"/>
        <i x="27" s="1"/>
        <i x="52" s="1"/>
        <i x="173" s="1"/>
        <i x="226" s="1"/>
        <i x="14" s="1"/>
        <i x="163" s="1"/>
        <i x="72" s="1"/>
        <i x="263" s="1"/>
        <i x="47" s="1"/>
        <i x="60" s="1"/>
        <i x="249" s="1"/>
        <i x="202" s="1"/>
        <i x="247" s="1"/>
        <i x="113" s="1"/>
        <i x="314" s="1"/>
        <i x="181" s="1"/>
        <i x="217" s="1"/>
        <i x="289" s="1"/>
        <i x="321" s="1"/>
        <i x="50" s="1"/>
        <i x="128" s="1"/>
        <i x="253" s="1"/>
        <i x="97" s="1"/>
        <i x="343" s="1"/>
        <i x="240" s="1"/>
        <i x="19" s="1"/>
        <i x="196" s="1"/>
        <i x="156" s="1"/>
        <i x="328" s="1"/>
        <i x="0" s="1"/>
        <i x="179" s="1"/>
        <i x="304" s="1"/>
        <i x="242" s="1"/>
        <i x="324" s="1"/>
        <i x="78" s="1"/>
        <i x="158" s="1"/>
        <i x="93" s="1"/>
        <i x="204" s="1"/>
        <i x="37" s="1"/>
        <i x="248" s="1"/>
        <i x="124" s="1"/>
        <i x="102" s="1"/>
        <i x="310" s="1"/>
        <i x="139" s="1"/>
        <i x="197" s="1"/>
        <i x="273" s="1"/>
        <i x="127" s="1"/>
        <i x="13" s="1"/>
        <i x="131" s="1"/>
        <i x="256" s="1"/>
        <i x="155" s="1"/>
        <i x="133" s="1"/>
        <i x="277" s="1"/>
        <i x="16" s="1"/>
        <i x="327" s="1"/>
        <i x="70" s="1"/>
        <i x="311" s="1"/>
        <i x="229" s="1"/>
        <i x="100" s="1"/>
        <i x="116" s="1"/>
        <i x="28" s="1"/>
        <i x="308" s="1"/>
        <i x="245" s="1"/>
        <i x="288" s="1"/>
        <i x="49" s="1"/>
        <i x="41" s="1"/>
        <i x="262" s="1"/>
        <i x="286" s="1"/>
        <i x="119" s="1"/>
        <i x="108" s="1"/>
        <i x="258" s="1"/>
        <i x="31" s="1"/>
        <i x="177" s="1"/>
        <i x="271" s="1"/>
        <i x="126" s="1"/>
        <i x="66" s="1"/>
        <i x="77" s="1"/>
        <i x="112" s="1"/>
        <i x="30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E41E7E-E7F7-42E2-B7E8-37CC72793218}" sourceName="Region">
  <pivotTables>
    <pivotTable tabId="3" name="PivotTable1"/>
  </pivotTables>
  <data>
    <tabular pivotCacheId="977476313">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3F6003BE-2B7D-4F0F-A228-1D75CC2E3E41}" cache="Slicer_Status" caption="Status" rowHeight="234950"/>
  <slicer name="Customer" xr10:uid="{BE5CB367-833D-4602-AECE-021D668B1F78}" cache="Slicer_Customer" caption="Customer" rowHeight="234950"/>
  <slicer name="OrderDate" xr10:uid="{5745A6B8-7AE0-4A40-BF60-DFAD3CB44CCB}" cache="Slicer_OrderDate" caption="OrderDate" rowHeight="234950"/>
  <slicer name="Region" xr10:uid="{2C55BA17-166A-4AA8-8B94-44E3BDBC6A36}"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E0AB8A-BCCE-4B64-8C89-B069D0C34E9C}" name="Table1" displayName="Table1" ref="B3:H4" totalsRowShown="0">
  <autoFilter ref="B3:H4" xr:uid="{A6E0AB8A-BCCE-4B64-8C89-B069D0C34E9C}"/>
  <tableColumns count="7">
    <tableColumn id="1" xr3:uid="{B2DF7DA6-C54F-495A-9761-B7695103C1E1}" name="Total Revenue" dataDxfId="4">
      <calculatedColumnFormula>SUM(O2C_Data!I215:I1001)</calculatedColumnFormula>
    </tableColumn>
    <tableColumn id="2" xr3:uid="{FEBEAE05-9BB0-4065-8C39-E51ABAF2FB1B}" name="Total Collections" dataDxfId="3">
      <calculatedColumnFormula>SUM(O2C_Data!J2:J1001)</calculatedColumnFormula>
    </tableColumn>
    <tableColumn id="3" xr3:uid="{BE679E0C-B9FF-449A-889C-8022D5B2F693}" name="Outstanding Amount" dataDxfId="2">
      <calculatedColumnFormula>SUM(O2C_Data!N2:N1001)</calculatedColumnFormula>
    </tableColumn>
    <tableColumn id="4" xr3:uid="{954226B6-2E46-4D33-8E7D-731C48760398}" name="Collection Efficiency %" dataDxfId="1" dataCellStyle="Percent">
      <calculatedColumnFormula>C4/B4</calculatedColumnFormula>
    </tableColumn>
    <tableColumn id="5" xr3:uid="{B6606549-3A02-4452-ABAF-FFBCBBCA9A11}" name="Fulfillment Rate %" dataDxfId="0" dataCellStyle="Percent">
      <calculatedColumnFormula>COUNTIF(O2C_Data!K2:K1001,"Paid")/COUNTA(O2C_Data!2:1001)</calculatedColumnFormula>
    </tableColumn>
    <tableColumn id="6" xr3:uid="{8626B17F-B288-44FA-9223-3BB113BF5B2B}" name="Average Collection Days">
      <calculatedColumnFormula>AVERAGE(O2C_Data!M2:M1001)</calculatedColumnFormula>
    </tableColumn>
    <tableColumn id="7" xr3:uid="{03A2EE70-8B88-4876-9C0E-3FCA1E702391}" name="Daily Sales Outstanding(DSO)">
      <calculatedColumnFormula>(D4/B4)*365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FC2C-C8E1-467E-A21A-D3E98832212F}">
  <dimension ref="A2:N106"/>
  <sheetViews>
    <sheetView zoomScale="72" workbookViewId="0">
      <selection activeCell="D2" sqref="D2:E16"/>
    </sheetView>
  </sheetViews>
  <sheetFormatPr defaultRowHeight="14.4" x14ac:dyDescent="0.3"/>
  <cols>
    <col min="1" max="1" width="11" bestFit="1" customWidth="1"/>
    <col min="2" max="2" width="15" bestFit="1" customWidth="1"/>
    <col min="4" max="4" width="12.88671875" bestFit="1" customWidth="1"/>
    <col min="5" max="5" width="17.44140625" bestFit="1" customWidth="1"/>
    <col min="7" max="7" width="12.88671875" bestFit="1" customWidth="1"/>
    <col min="8" max="8" width="18.21875" bestFit="1" customWidth="1"/>
    <col min="10" max="10" width="22.6640625" bestFit="1" customWidth="1"/>
    <col min="11" max="11" width="25.6640625" bestFit="1" customWidth="1"/>
    <col min="13" max="13" width="12.88671875" bestFit="1" customWidth="1"/>
    <col min="14" max="14" width="25.6640625" bestFit="1" customWidth="1"/>
  </cols>
  <sheetData>
    <row r="2" spans="1:14" x14ac:dyDescent="0.3">
      <c r="A2" s="27" t="s">
        <v>1539</v>
      </c>
      <c r="B2" s="28"/>
      <c r="D2" s="27" t="s">
        <v>1564</v>
      </c>
      <c r="E2" s="28"/>
      <c r="G2" s="27" t="s">
        <v>1541</v>
      </c>
      <c r="H2" s="27"/>
      <c r="J2" s="27" t="s">
        <v>1543</v>
      </c>
      <c r="K2" s="27"/>
      <c r="M2" s="27" t="s">
        <v>1547</v>
      </c>
      <c r="N2" s="27"/>
    </row>
    <row r="3" spans="1:14" x14ac:dyDescent="0.3">
      <c r="A3" s="17" t="s">
        <v>2</v>
      </c>
      <c r="B3" t="s">
        <v>1538</v>
      </c>
      <c r="D3" s="17" t="s">
        <v>1535</v>
      </c>
      <c r="E3" t="s">
        <v>1537</v>
      </c>
      <c r="G3" s="17" t="s">
        <v>1535</v>
      </c>
      <c r="H3" t="s">
        <v>1540</v>
      </c>
      <c r="J3" s="17" t="s">
        <v>1535</v>
      </c>
      <c r="K3" t="s">
        <v>1542</v>
      </c>
      <c r="M3" s="17" t="s">
        <v>1535</v>
      </c>
      <c r="N3" t="s">
        <v>1542</v>
      </c>
    </row>
    <row r="4" spans="1:14" x14ac:dyDescent="0.3">
      <c r="A4" s="18" t="s">
        <v>40</v>
      </c>
      <c r="B4" s="15">
        <v>4060000</v>
      </c>
      <c r="D4" s="18" t="s">
        <v>1555</v>
      </c>
      <c r="E4" s="31">
        <v>2505000</v>
      </c>
      <c r="G4" s="18" t="s">
        <v>40</v>
      </c>
      <c r="H4" s="15">
        <v>2827250</v>
      </c>
      <c r="J4" s="18" t="s">
        <v>306</v>
      </c>
      <c r="K4" s="15">
        <v>357000</v>
      </c>
      <c r="M4" s="18" t="s">
        <v>1544</v>
      </c>
      <c r="N4" s="15">
        <v>598500</v>
      </c>
    </row>
    <row r="5" spans="1:14" x14ac:dyDescent="0.3">
      <c r="A5" s="18" t="s">
        <v>26</v>
      </c>
      <c r="B5" s="15">
        <v>4421000</v>
      </c>
      <c r="D5" s="18" t="s">
        <v>1559</v>
      </c>
      <c r="E5" s="31">
        <v>3383000</v>
      </c>
      <c r="G5" s="18" t="s">
        <v>26</v>
      </c>
      <c r="H5" s="15">
        <v>2686250</v>
      </c>
      <c r="J5" s="18" t="s">
        <v>660</v>
      </c>
      <c r="K5" s="15">
        <v>330000</v>
      </c>
      <c r="M5" s="18" t="s">
        <v>1545</v>
      </c>
      <c r="N5" s="15">
        <v>199750</v>
      </c>
    </row>
    <row r="6" spans="1:14" x14ac:dyDescent="0.3">
      <c r="A6" s="18" t="s">
        <v>33</v>
      </c>
      <c r="B6" s="15">
        <v>4866000</v>
      </c>
      <c r="D6" s="18" t="s">
        <v>1563</v>
      </c>
      <c r="E6" s="31">
        <v>3233000</v>
      </c>
      <c r="G6" s="18" t="s">
        <v>33</v>
      </c>
      <c r="H6" s="15">
        <v>3194750</v>
      </c>
      <c r="J6" s="18" t="s">
        <v>198</v>
      </c>
      <c r="K6" s="15">
        <v>281750</v>
      </c>
      <c r="M6" s="18" t="s">
        <v>1546</v>
      </c>
      <c r="N6" s="15">
        <v>10235000</v>
      </c>
    </row>
    <row r="7" spans="1:14" x14ac:dyDescent="0.3">
      <c r="A7" s="18" t="s">
        <v>12</v>
      </c>
      <c r="B7" s="15">
        <v>22018000</v>
      </c>
      <c r="D7" s="18" t="s">
        <v>1553</v>
      </c>
      <c r="E7" s="31">
        <v>3268000</v>
      </c>
      <c r="G7" s="18" t="s">
        <v>12</v>
      </c>
      <c r="H7" s="15">
        <v>15623500</v>
      </c>
      <c r="J7" s="18" t="s">
        <v>457</v>
      </c>
      <c r="K7" s="15">
        <v>253000</v>
      </c>
      <c r="M7" s="18" t="s">
        <v>1536</v>
      </c>
      <c r="N7" s="15">
        <v>11033250</v>
      </c>
    </row>
    <row r="8" spans="1:14" x14ac:dyDescent="0.3">
      <c r="A8" s="18" t="s">
        <v>1536</v>
      </c>
      <c r="B8" s="15">
        <v>35365000</v>
      </c>
      <c r="D8" s="18" t="s">
        <v>1552</v>
      </c>
      <c r="E8" s="31">
        <v>2221000</v>
      </c>
      <c r="G8" s="18" t="s">
        <v>1536</v>
      </c>
      <c r="H8" s="15">
        <v>24331750</v>
      </c>
      <c r="J8" s="18" t="s">
        <v>415</v>
      </c>
      <c r="K8" s="15">
        <v>243000</v>
      </c>
    </row>
    <row r="9" spans="1:14" x14ac:dyDescent="0.3">
      <c r="D9" s="18" t="s">
        <v>1558</v>
      </c>
      <c r="E9" s="31">
        <v>2783000</v>
      </c>
      <c r="J9" s="18" t="s">
        <v>402</v>
      </c>
      <c r="K9" s="15">
        <v>235000</v>
      </c>
    </row>
    <row r="10" spans="1:14" x14ac:dyDescent="0.3">
      <c r="D10" s="18" t="s">
        <v>1557</v>
      </c>
      <c r="E10" s="31">
        <v>2044000</v>
      </c>
      <c r="J10" s="18" t="s">
        <v>407</v>
      </c>
      <c r="K10" s="15">
        <v>227500</v>
      </c>
    </row>
    <row r="11" spans="1:14" x14ac:dyDescent="0.3">
      <c r="D11" s="18" t="s">
        <v>1554</v>
      </c>
      <c r="E11" s="31">
        <v>2753000</v>
      </c>
      <c r="J11" s="18" t="s">
        <v>65</v>
      </c>
      <c r="K11" s="15">
        <v>220000</v>
      </c>
    </row>
    <row r="12" spans="1:14" x14ac:dyDescent="0.3">
      <c r="D12" s="18" t="s">
        <v>1556</v>
      </c>
      <c r="E12" s="31">
        <v>3545000</v>
      </c>
      <c r="J12" s="18" t="s">
        <v>258</v>
      </c>
      <c r="K12" s="15">
        <v>212500</v>
      </c>
    </row>
    <row r="13" spans="1:14" x14ac:dyDescent="0.3">
      <c r="D13" s="18" t="s">
        <v>1562</v>
      </c>
      <c r="E13" s="31">
        <v>2531000</v>
      </c>
      <c r="J13" s="18" t="s">
        <v>252</v>
      </c>
      <c r="K13" s="15">
        <v>212500</v>
      </c>
    </row>
    <row r="14" spans="1:14" x14ac:dyDescent="0.3">
      <c r="D14" s="18" t="s">
        <v>1561</v>
      </c>
      <c r="E14" s="31">
        <v>3735000</v>
      </c>
      <c r="J14" s="18" t="s">
        <v>492</v>
      </c>
      <c r="K14" s="15">
        <v>208000</v>
      </c>
    </row>
    <row r="15" spans="1:14" x14ac:dyDescent="0.3">
      <c r="D15" s="18" t="s">
        <v>1560</v>
      </c>
      <c r="E15" s="31">
        <v>3364000</v>
      </c>
      <c r="J15" s="18" t="s">
        <v>519</v>
      </c>
      <c r="K15" s="15">
        <v>206500</v>
      </c>
    </row>
    <row r="16" spans="1:14" x14ac:dyDescent="0.3">
      <c r="D16" s="18" t="s">
        <v>1536</v>
      </c>
      <c r="E16" s="31">
        <v>35365000</v>
      </c>
      <c r="J16" s="18" t="s">
        <v>268</v>
      </c>
      <c r="K16" s="15">
        <v>197000</v>
      </c>
    </row>
    <row r="17" spans="10:11" x14ac:dyDescent="0.3">
      <c r="J17" s="18" t="s">
        <v>180</v>
      </c>
      <c r="K17" s="15">
        <v>193000</v>
      </c>
    </row>
    <row r="18" spans="10:11" x14ac:dyDescent="0.3">
      <c r="J18" s="18" t="s">
        <v>461</v>
      </c>
      <c r="K18" s="15">
        <v>188000</v>
      </c>
    </row>
    <row r="19" spans="10:11" x14ac:dyDescent="0.3">
      <c r="J19" s="18" t="s">
        <v>234</v>
      </c>
      <c r="K19" s="15">
        <v>183000</v>
      </c>
    </row>
    <row r="20" spans="10:11" x14ac:dyDescent="0.3">
      <c r="J20" s="18" t="s">
        <v>876</v>
      </c>
      <c r="K20" s="15">
        <v>181250</v>
      </c>
    </row>
    <row r="21" spans="10:11" x14ac:dyDescent="0.3">
      <c r="J21" s="18" t="s">
        <v>529</v>
      </c>
      <c r="K21" s="15">
        <v>177500</v>
      </c>
    </row>
    <row r="22" spans="10:11" x14ac:dyDescent="0.3">
      <c r="J22" s="18" t="s">
        <v>165</v>
      </c>
      <c r="K22" s="15">
        <v>173000</v>
      </c>
    </row>
    <row r="23" spans="10:11" x14ac:dyDescent="0.3">
      <c r="J23" s="18" t="s">
        <v>32</v>
      </c>
      <c r="K23" s="15">
        <v>167000</v>
      </c>
    </row>
    <row r="24" spans="10:11" x14ac:dyDescent="0.3">
      <c r="J24" s="18" t="s">
        <v>431</v>
      </c>
      <c r="K24" s="15">
        <v>162500</v>
      </c>
    </row>
    <row r="25" spans="10:11" x14ac:dyDescent="0.3">
      <c r="J25" s="18" t="s">
        <v>255</v>
      </c>
      <c r="K25" s="15">
        <v>151250</v>
      </c>
    </row>
    <row r="26" spans="10:11" x14ac:dyDescent="0.3">
      <c r="J26" s="18" t="s">
        <v>336</v>
      </c>
      <c r="K26" s="15">
        <v>150000</v>
      </c>
    </row>
    <row r="27" spans="10:11" x14ac:dyDescent="0.3">
      <c r="J27" s="18" t="s">
        <v>124</v>
      </c>
      <c r="K27" s="15">
        <v>150000</v>
      </c>
    </row>
    <row r="28" spans="10:11" x14ac:dyDescent="0.3">
      <c r="J28" s="18" t="s">
        <v>293</v>
      </c>
      <c r="K28" s="15">
        <v>150000</v>
      </c>
    </row>
    <row r="29" spans="10:11" x14ac:dyDescent="0.3">
      <c r="J29" s="18" t="s">
        <v>84</v>
      </c>
      <c r="K29" s="15">
        <v>147500</v>
      </c>
    </row>
    <row r="30" spans="10:11" x14ac:dyDescent="0.3">
      <c r="J30" s="18" t="s">
        <v>512</v>
      </c>
      <c r="K30" s="15">
        <v>145000</v>
      </c>
    </row>
    <row r="31" spans="10:11" x14ac:dyDescent="0.3">
      <c r="J31" s="18" t="s">
        <v>73</v>
      </c>
      <c r="K31" s="15">
        <v>145000</v>
      </c>
    </row>
    <row r="32" spans="10:11" x14ac:dyDescent="0.3">
      <c r="J32" s="18" t="s">
        <v>11</v>
      </c>
      <c r="K32" s="15">
        <v>142500</v>
      </c>
    </row>
    <row r="33" spans="10:11" x14ac:dyDescent="0.3">
      <c r="J33" s="18" t="s">
        <v>658</v>
      </c>
      <c r="K33" s="15">
        <v>138000</v>
      </c>
    </row>
    <row r="34" spans="10:11" x14ac:dyDescent="0.3">
      <c r="J34" s="18" t="s">
        <v>309</v>
      </c>
      <c r="K34" s="15">
        <v>138000</v>
      </c>
    </row>
    <row r="35" spans="10:11" x14ac:dyDescent="0.3">
      <c r="J35" s="18" t="s">
        <v>494</v>
      </c>
      <c r="K35" s="15">
        <v>137750</v>
      </c>
    </row>
    <row r="36" spans="10:11" x14ac:dyDescent="0.3">
      <c r="J36" s="18" t="s">
        <v>593</v>
      </c>
      <c r="K36" s="15">
        <v>131250</v>
      </c>
    </row>
    <row r="37" spans="10:11" x14ac:dyDescent="0.3">
      <c r="J37" s="18" t="s">
        <v>380</v>
      </c>
      <c r="K37" s="15">
        <v>131250</v>
      </c>
    </row>
    <row r="38" spans="10:11" x14ac:dyDescent="0.3">
      <c r="J38" s="18" t="s">
        <v>25</v>
      </c>
      <c r="K38" s="15">
        <v>129500</v>
      </c>
    </row>
    <row r="39" spans="10:11" x14ac:dyDescent="0.3">
      <c r="J39" s="18" t="s">
        <v>570</v>
      </c>
      <c r="K39" s="15">
        <v>129000</v>
      </c>
    </row>
    <row r="40" spans="10:11" x14ac:dyDescent="0.3">
      <c r="J40" s="18" t="s">
        <v>601</v>
      </c>
      <c r="K40" s="15">
        <v>126750</v>
      </c>
    </row>
    <row r="41" spans="10:11" x14ac:dyDescent="0.3">
      <c r="J41" s="18" t="s">
        <v>339</v>
      </c>
      <c r="K41" s="15">
        <v>126500</v>
      </c>
    </row>
    <row r="42" spans="10:11" x14ac:dyDescent="0.3">
      <c r="J42" s="18" t="s">
        <v>53</v>
      </c>
      <c r="K42" s="15">
        <v>125000</v>
      </c>
    </row>
    <row r="43" spans="10:11" x14ac:dyDescent="0.3">
      <c r="J43" s="18" t="s">
        <v>500</v>
      </c>
      <c r="K43" s="15">
        <v>125000</v>
      </c>
    </row>
    <row r="44" spans="10:11" x14ac:dyDescent="0.3">
      <c r="J44" s="18" t="s">
        <v>108</v>
      </c>
      <c r="K44" s="15">
        <v>124500</v>
      </c>
    </row>
    <row r="45" spans="10:11" x14ac:dyDescent="0.3">
      <c r="J45" s="18" t="s">
        <v>120</v>
      </c>
      <c r="K45" s="15">
        <v>120000</v>
      </c>
    </row>
    <row r="46" spans="10:11" x14ac:dyDescent="0.3">
      <c r="J46" s="18" t="s">
        <v>482</v>
      </c>
      <c r="K46" s="15">
        <v>118000</v>
      </c>
    </row>
    <row r="47" spans="10:11" x14ac:dyDescent="0.3">
      <c r="J47" s="18" t="s">
        <v>497</v>
      </c>
      <c r="K47" s="15">
        <v>117500</v>
      </c>
    </row>
    <row r="48" spans="10:11" x14ac:dyDescent="0.3">
      <c r="J48" s="18" t="s">
        <v>160</v>
      </c>
      <c r="K48" s="15">
        <v>117000</v>
      </c>
    </row>
    <row r="49" spans="10:11" x14ac:dyDescent="0.3">
      <c r="J49" s="18" t="s">
        <v>297</v>
      </c>
      <c r="K49" s="15">
        <v>114000</v>
      </c>
    </row>
    <row r="50" spans="10:11" x14ac:dyDescent="0.3">
      <c r="J50" s="18" t="s">
        <v>285</v>
      </c>
      <c r="K50" s="15">
        <v>110000</v>
      </c>
    </row>
    <row r="51" spans="10:11" x14ac:dyDescent="0.3">
      <c r="J51" s="18" t="s">
        <v>361</v>
      </c>
      <c r="K51" s="15">
        <v>110000</v>
      </c>
    </row>
    <row r="52" spans="10:11" x14ac:dyDescent="0.3">
      <c r="J52" s="18" t="s">
        <v>207</v>
      </c>
      <c r="K52" s="15">
        <v>108000</v>
      </c>
    </row>
    <row r="53" spans="10:11" x14ac:dyDescent="0.3">
      <c r="J53" s="18" t="s">
        <v>130</v>
      </c>
      <c r="K53" s="15">
        <v>103500</v>
      </c>
    </row>
    <row r="54" spans="10:11" x14ac:dyDescent="0.3">
      <c r="J54" s="18" t="s">
        <v>47</v>
      </c>
      <c r="K54" s="15">
        <v>100000</v>
      </c>
    </row>
    <row r="55" spans="10:11" x14ac:dyDescent="0.3">
      <c r="J55" s="18" t="s">
        <v>572</v>
      </c>
      <c r="K55" s="15">
        <v>98250</v>
      </c>
    </row>
    <row r="56" spans="10:11" x14ac:dyDescent="0.3">
      <c r="J56" s="18" t="s">
        <v>489</v>
      </c>
      <c r="K56" s="15">
        <v>97000</v>
      </c>
    </row>
    <row r="57" spans="10:11" x14ac:dyDescent="0.3">
      <c r="J57" s="18" t="s">
        <v>1060</v>
      </c>
      <c r="K57" s="15">
        <v>92500</v>
      </c>
    </row>
    <row r="58" spans="10:11" x14ac:dyDescent="0.3">
      <c r="J58" s="18" t="s">
        <v>313</v>
      </c>
      <c r="K58" s="15">
        <v>91000</v>
      </c>
    </row>
    <row r="59" spans="10:11" x14ac:dyDescent="0.3">
      <c r="J59" s="18" t="s">
        <v>59</v>
      </c>
      <c r="K59" s="15">
        <v>90000</v>
      </c>
    </row>
    <row r="60" spans="10:11" x14ac:dyDescent="0.3">
      <c r="J60" s="18" t="s">
        <v>716</v>
      </c>
      <c r="K60" s="15">
        <v>90000</v>
      </c>
    </row>
    <row r="61" spans="10:11" x14ac:dyDescent="0.3">
      <c r="J61" s="18" t="s">
        <v>487</v>
      </c>
      <c r="K61" s="15">
        <v>90000</v>
      </c>
    </row>
    <row r="62" spans="10:11" x14ac:dyDescent="0.3">
      <c r="J62" s="18" t="s">
        <v>19</v>
      </c>
      <c r="K62" s="15">
        <v>90000</v>
      </c>
    </row>
    <row r="63" spans="10:11" x14ac:dyDescent="0.3">
      <c r="J63" s="18" t="s">
        <v>521</v>
      </c>
      <c r="K63" s="15">
        <v>88750</v>
      </c>
    </row>
    <row r="64" spans="10:11" x14ac:dyDescent="0.3">
      <c r="J64" s="18" t="s">
        <v>822</v>
      </c>
      <c r="K64" s="15">
        <v>88000</v>
      </c>
    </row>
    <row r="65" spans="10:11" x14ac:dyDescent="0.3">
      <c r="J65" s="18" t="s">
        <v>794</v>
      </c>
      <c r="K65" s="15">
        <v>87000</v>
      </c>
    </row>
    <row r="66" spans="10:11" x14ac:dyDescent="0.3">
      <c r="J66" s="18" t="s">
        <v>718</v>
      </c>
      <c r="K66" s="15">
        <v>83750</v>
      </c>
    </row>
    <row r="67" spans="10:11" x14ac:dyDescent="0.3">
      <c r="J67" s="18" t="s">
        <v>553</v>
      </c>
      <c r="K67" s="15">
        <v>80000</v>
      </c>
    </row>
    <row r="68" spans="10:11" x14ac:dyDescent="0.3">
      <c r="J68" s="18" t="s">
        <v>325</v>
      </c>
      <c r="K68" s="15">
        <v>75000</v>
      </c>
    </row>
    <row r="69" spans="10:11" x14ac:dyDescent="0.3">
      <c r="J69" s="18" t="s">
        <v>90</v>
      </c>
      <c r="K69" s="15">
        <v>70000</v>
      </c>
    </row>
    <row r="70" spans="10:11" x14ac:dyDescent="0.3">
      <c r="J70" s="18" t="s">
        <v>280</v>
      </c>
      <c r="K70" s="15">
        <v>69000</v>
      </c>
    </row>
    <row r="71" spans="10:11" x14ac:dyDescent="0.3">
      <c r="J71" s="18" t="s">
        <v>434</v>
      </c>
      <c r="K71" s="15">
        <v>68250</v>
      </c>
    </row>
    <row r="72" spans="10:11" x14ac:dyDescent="0.3">
      <c r="J72" s="18" t="s">
        <v>300</v>
      </c>
      <c r="K72" s="15">
        <v>67500</v>
      </c>
    </row>
    <row r="73" spans="10:11" x14ac:dyDescent="0.3">
      <c r="J73" s="18" t="s">
        <v>802</v>
      </c>
      <c r="K73" s="15">
        <v>65000</v>
      </c>
    </row>
    <row r="74" spans="10:11" x14ac:dyDescent="0.3">
      <c r="J74" s="18" t="s">
        <v>221</v>
      </c>
      <c r="K74" s="15">
        <v>62000</v>
      </c>
    </row>
    <row r="75" spans="10:11" x14ac:dyDescent="0.3">
      <c r="J75" s="18" t="s">
        <v>651</v>
      </c>
      <c r="K75" s="15">
        <v>58500</v>
      </c>
    </row>
    <row r="76" spans="10:11" x14ac:dyDescent="0.3">
      <c r="J76" s="18" t="s">
        <v>702</v>
      </c>
      <c r="K76" s="15">
        <v>58000</v>
      </c>
    </row>
    <row r="77" spans="10:11" x14ac:dyDescent="0.3">
      <c r="J77" s="18" t="s">
        <v>527</v>
      </c>
      <c r="K77" s="15">
        <v>53500</v>
      </c>
    </row>
    <row r="78" spans="10:11" x14ac:dyDescent="0.3">
      <c r="J78" s="18" t="s">
        <v>186</v>
      </c>
      <c r="K78" s="15">
        <v>53000</v>
      </c>
    </row>
    <row r="79" spans="10:11" x14ac:dyDescent="0.3">
      <c r="J79" s="18" t="s">
        <v>103</v>
      </c>
      <c r="K79" s="15">
        <v>53000</v>
      </c>
    </row>
    <row r="80" spans="10:11" x14ac:dyDescent="0.3">
      <c r="J80" s="18" t="s">
        <v>420</v>
      </c>
      <c r="K80" s="15">
        <v>52000</v>
      </c>
    </row>
    <row r="81" spans="10:11" x14ac:dyDescent="0.3">
      <c r="J81" s="18" t="s">
        <v>727</v>
      </c>
      <c r="K81" s="15">
        <v>50000</v>
      </c>
    </row>
    <row r="82" spans="10:11" x14ac:dyDescent="0.3">
      <c r="J82" s="18" t="s">
        <v>176</v>
      </c>
      <c r="K82" s="15">
        <v>50000</v>
      </c>
    </row>
    <row r="83" spans="10:11" x14ac:dyDescent="0.3">
      <c r="J83" s="18" t="s">
        <v>378</v>
      </c>
      <c r="K83" s="15">
        <v>50000</v>
      </c>
    </row>
    <row r="84" spans="10:11" x14ac:dyDescent="0.3">
      <c r="J84" s="18" t="s">
        <v>449</v>
      </c>
      <c r="K84" s="15">
        <v>47000</v>
      </c>
    </row>
    <row r="85" spans="10:11" x14ac:dyDescent="0.3">
      <c r="J85" s="18" t="s">
        <v>115</v>
      </c>
      <c r="K85" s="15">
        <v>40000</v>
      </c>
    </row>
    <row r="86" spans="10:11" x14ac:dyDescent="0.3">
      <c r="J86" s="18" t="s">
        <v>389</v>
      </c>
      <c r="K86" s="15">
        <v>40000</v>
      </c>
    </row>
    <row r="87" spans="10:11" x14ac:dyDescent="0.3">
      <c r="J87" s="18" t="s">
        <v>144</v>
      </c>
      <c r="K87" s="15">
        <v>37500</v>
      </c>
    </row>
    <row r="88" spans="10:11" x14ac:dyDescent="0.3">
      <c r="J88" s="18" t="s">
        <v>454</v>
      </c>
      <c r="K88" s="15">
        <v>35000</v>
      </c>
    </row>
    <row r="89" spans="10:11" x14ac:dyDescent="0.3">
      <c r="J89" s="18" t="s">
        <v>170</v>
      </c>
      <c r="K89" s="15">
        <v>33000</v>
      </c>
    </row>
    <row r="90" spans="10:11" x14ac:dyDescent="0.3">
      <c r="J90" s="18" t="s">
        <v>68</v>
      </c>
      <c r="K90" s="15">
        <v>30000</v>
      </c>
    </row>
    <row r="91" spans="10:11" x14ac:dyDescent="0.3">
      <c r="J91" s="18" t="s">
        <v>365</v>
      </c>
      <c r="K91" s="15">
        <v>26000</v>
      </c>
    </row>
    <row r="92" spans="10:11" x14ac:dyDescent="0.3">
      <c r="J92" s="18" t="s">
        <v>135</v>
      </c>
      <c r="K92" s="15">
        <v>25000</v>
      </c>
    </row>
    <row r="93" spans="10:11" x14ac:dyDescent="0.3">
      <c r="J93" s="18" t="s">
        <v>780</v>
      </c>
      <c r="K93" s="15">
        <v>25000</v>
      </c>
    </row>
    <row r="94" spans="10:11" x14ac:dyDescent="0.3">
      <c r="J94" s="18" t="s">
        <v>734</v>
      </c>
      <c r="K94" s="15">
        <v>22000</v>
      </c>
    </row>
    <row r="95" spans="10:11" x14ac:dyDescent="0.3">
      <c r="J95" s="18" t="s">
        <v>347</v>
      </c>
      <c r="K95" s="15">
        <v>20000</v>
      </c>
    </row>
    <row r="96" spans="10:11" x14ac:dyDescent="0.3">
      <c r="J96" s="18" t="s">
        <v>39</v>
      </c>
      <c r="K96" s="15">
        <v>15000</v>
      </c>
    </row>
    <row r="97" spans="10:11" x14ac:dyDescent="0.3">
      <c r="J97" s="18" t="s">
        <v>78</v>
      </c>
      <c r="K97" s="15">
        <v>12000</v>
      </c>
    </row>
    <row r="98" spans="10:11" x14ac:dyDescent="0.3">
      <c r="J98" s="18" t="s">
        <v>750</v>
      </c>
      <c r="K98" s="15">
        <v>12000</v>
      </c>
    </row>
    <row r="99" spans="10:11" x14ac:dyDescent="0.3">
      <c r="J99" s="18" t="s">
        <v>212</v>
      </c>
      <c r="K99" s="15">
        <v>12000</v>
      </c>
    </row>
    <row r="100" spans="10:11" x14ac:dyDescent="0.3">
      <c r="J100" s="18" t="s">
        <v>439</v>
      </c>
      <c r="K100" s="15">
        <v>5000</v>
      </c>
    </row>
    <row r="101" spans="10:11" x14ac:dyDescent="0.3">
      <c r="J101" s="18" t="s">
        <v>277</v>
      </c>
      <c r="K101" s="15">
        <v>5000</v>
      </c>
    </row>
    <row r="102" spans="10:11" x14ac:dyDescent="0.3">
      <c r="J102" s="18" t="s">
        <v>906</v>
      </c>
      <c r="K102" s="15">
        <v>0</v>
      </c>
    </row>
    <row r="103" spans="10:11" x14ac:dyDescent="0.3">
      <c r="J103" s="18" t="s">
        <v>587</v>
      </c>
      <c r="K103" s="15">
        <v>0</v>
      </c>
    </row>
    <row r="104" spans="10:11" x14ac:dyDescent="0.3">
      <c r="J104" s="18" t="s">
        <v>150</v>
      </c>
      <c r="K104" s="15">
        <v>0</v>
      </c>
    </row>
    <row r="105" spans="10:11" x14ac:dyDescent="0.3">
      <c r="J105" s="18" t="s">
        <v>242</v>
      </c>
      <c r="K105" s="15">
        <v>0</v>
      </c>
    </row>
    <row r="106" spans="10:11" x14ac:dyDescent="0.3">
      <c r="J106" s="18" t="s">
        <v>1536</v>
      </c>
      <c r="K106" s="15">
        <v>11033250</v>
      </c>
    </row>
  </sheetData>
  <mergeCells count="5">
    <mergeCell ref="A2:B2"/>
    <mergeCell ref="G2:H2"/>
    <mergeCell ref="D2:E2"/>
    <mergeCell ref="J2:K2"/>
    <mergeCell ref="M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E1" zoomScale="90" workbookViewId="0">
      <pane ySplit="1" topLeftCell="A70" activePane="bottomLeft" state="frozen"/>
      <selection pane="bottomLeft" activeCell="D15" sqref="D15"/>
    </sheetView>
  </sheetViews>
  <sheetFormatPr defaultRowHeight="14.4" x14ac:dyDescent="0.3"/>
  <cols>
    <col min="1" max="1" width="10" customWidth="1"/>
    <col min="2" max="2" width="28" customWidth="1"/>
    <col min="3" max="4" width="10" customWidth="1"/>
    <col min="5" max="5" width="14" style="26" customWidth="1"/>
    <col min="6" max="6" width="14" style="22" customWidth="1"/>
    <col min="7" max="7" width="12" style="22" customWidth="1"/>
    <col min="8" max="8" width="14" style="22" customWidth="1"/>
    <col min="9" max="11" width="14" customWidth="1"/>
    <col min="12" max="12" width="21.21875" customWidth="1"/>
    <col min="13" max="13" width="21.44140625" customWidth="1"/>
    <col min="14" max="14" width="24.5546875" customWidth="1"/>
    <col min="15" max="15" width="10" bestFit="1" customWidth="1"/>
  </cols>
  <sheetData>
    <row r="1" spans="1:15" ht="30" customHeight="1" x14ac:dyDescent="0.3">
      <c r="A1" s="1" t="s">
        <v>0</v>
      </c>
      <c r="B1" s="1" t="s">
        <v>1</v>
      </c>
      <c r="C1" s="1" t="s">
        <v>2</v>
      </c>
      <c r="D1" s="30" t="s">
        <v>1551</v>
      </c>
      <c r="E1" s="23" t="s">
        <v>3</v>
      </c>
      <c r="F1" s="19" t="s">
        <v>4</v>
      </c>
      <c r="G1" s="19" t="s">
        <v>5</v>
      </c>
      <c r="H1" s="19" t="s">
        <v>6</v>
      </c>
      <c r="I1" s="1" t="s">
        <v>7</v>
      </c>
      <c r="J1" s="1" t="s">
        <v>8</v>
      </c>
      <c r="K1" s="1" t="s">
        <v>9</v>
      </c>
      <c r="L1" s="14" t="s">
        <v>1525</v>
      </c>
      <c r="M1" s="14" t="s">
        <v>1526</v>
      </c>
      <c r="N1" s="14" t="s">
        <v>1527</v>
      </c>
      <c r="O1" s="14" t="s">
        <v>1528</v>
      </c>
    </row>
    <row r="2" spans="1:15" x14ac:dyDescent="0.3">
      <c r="A2" s="2" t="s">
        <v>10</v>
      </c>
      <c r="B2" s="3" t="s">
        <v>11</v>
      </c>
      <c r="C2" s="2" t="s">
        <v>12</v>
      </c>
      <c r="D2" s="2" t="str">
        <f>MID(E2, 4, 3)</f>
        <v>Feb</v>
      </c>
      <c r="E2" s="24" t="s">
        <v>13</v>
      </c>
      <c r="F2" s="20" t="s">
        <v>14</v>
      </c>
      <c r="G2" s="20" t="s">
        <v>15</v>
      </c>
      <c r="H2" s="20" t="s">
        <v>16</v>
      </c>
      <c r="I2" s="4">
        <v>50000</v>
      </c>
      <c r="J2" s="4">
        <v>50000</v>
      </c>
      <c r="K2" s="5" t="s">
        <v>17</v>
      </c>
      <c r="L2">
        <f>F2-E2</f>
        <v>1</v>
      </c>
      <c r="M2">
        <f ca="1">IF(H2="",TODAY()-F2,H2-F2)</f>
        <v>9</v>
      </c>
      <c r="N2" s="15">
        <f>I2-J2</f>
        <v>0</v>
      </c>
      <c r="O2" t="str">
        <f ca="1">IF(M2&lt;=30,"0-30 Days",
IF(M2&lt;=60,"31-60 Days",
IF(M2&lt;=90,"61-90 Days","90+ Days")))</f>
        <v>0-30 Days</v>
      </c>
    </row>
    <row r="3" spans="1:15" x14ac:dyDescent="0.3">
      <c r="A3" s="6" t="s">
        <v>18</v>
      </c>
      <c r="B3" s="7" t="s">
        <v>19</v>
      </c>
      <c r="C3" s="6" t="s">
        <v>12</v>
      </c>
      <c r="D3" s="2" t="str">
        <f t="shared" ref="D3:D66" si="0">MID(E3, 4, 3)</f>
        <v>Feb</v>
      </c>
      <c r="E3" s="25" t="s">
        <v>20</v>
      </c>
      <c r="F3" s="21" t="s">
        <v>21</v>
      </c>
      <c r="G3" s="21" t="s">
        <v>22</v>
      </c>
      <c r="H3" s="21" t="s">
        <v>23</v>
      </c>
      <c r="I3" s="8">
        <v>55000</v>
      </c>
      <c r="J3" s="8">
        <v>55000</v>
      </c>
      <c r="K3" s="5" t="s">
        <v>17</v>
      </c>
      <c r="L3">
        <f t="shared" ref="L3:L66" si="1">F3-E3</f>
        <v>3</v>
      </c>
      <c r="M3">
        <f ca="1">IF(H3="",TODAY()-F3,H3-F3)</f>
        <v>18</v>
      </c>
      <c r="N3" s="15">
        <f t="shared" ref="N3:N66" si="2">I3-J3</f>
        <v>0</v>
      </c>
      <c r="O3" t="str">
        <f t="shared" ref="O3:O66" ca="1" si="3">IF(M3&lt;=30,"0-30 Days",
IF(M3&lt;=60,"31-60 Days",
IF(M3&lt;=90,"61-90 Days","90+ Days")))</f>
        <v>0-30 Days</v>
      </c>
    </row>
    <row r="4" spans="1:15" x14ac:dyDescent="0.3">
      <c r="A4" s="2" t="s">
        <v>24</v>
      </c>
      <c r="B4" s="3" t="s">
        <v>25</v>
      </c>
      <c r="C4" s="2" t="s">
        <v>26</v>
      </c>
      <c r="D4" s="2" t="str">
        <f t="shared" si="0"/>
        <v>Jan</v>
      </c>
      <c r="E4" s="24" t="s">
        <v>27</v>
      </c>
      <c r="F4" s="20" t="s">
        <v>28</v>
      </c>
      <c r="G4" s="20" t="s">
        <v>29</v>
      </c>
      <c r="H4" s="20" t="s">
        <v>30</v>
      </c>
      <c r="I4" s="4">
        <v>30000</v>
      </c>
      <c r="J4" s="4">
        <v>30000</v>
      </c>
      <c r="K4" s="5" t="s">
        <v>17</v>
      </c>
      <c r="L4">
        <f t="shared" si="1"/>
        <v>1</v>
      </c>
      <c r="M4">
        <f t="shared" ref="M4:M67" ca="1" si="4">IF(H4="",TODAY()-F4,H4-F4)</f>
        <v>24</v>
      </c>
      <c r="N4" s="15">
        <f t="shared" si="2"/>
        <v>0</v>
      </c>
      <c r="O4" t="str">
        <f t="shared" ca="1" si="3"/>
        <v>0-30 Days</v>
      </c>
    </row>
    <row r="5" spans="1:15" x14ac:dyDescent="0.3">
      <c r="A5" s="6" t="s">
        <v>31</v>
      </c>
      <c r="B5" s="7" t="s">
        <v>32</v>
      </c>
      <c r="C5" s="6" t="s">
        <v>33</v>
      </c>
      <c r="D5" s="2" t="str">
        <f t="shared" si="0"/>
        <v>Oct</v>
      </c>
      <c r="E5" s="25" t="s">
        <v>34</v>
      </c>
      <c r="F5" s="21" t="s">
        <v>35</v>
      </c>
      <c r="G5" s="21" t="s">
        <v>36</v>
      </c>
      <c r="H5" s="21" t="s">
        <v>37</v>
      </c>
      <c r="I5" s="8">
        <v>55000</v>
      </c>
      <c r="J5" s="8">
        <v>55000</v>
      </c>
      <c r="K5" s="5" t="s">
        <v>17</v>
      </c>
      <c r="L5">
        <f t="shared" si="1"/>
        <v>1</v>
      </c>
      <c r="M5">
        <f t="shared" ca="1" si="4"/>
        <v>19</v>
      </c>
      <c r="N5" s="15">
        <f t="shared" si="2"/>
        <v>0</v>
      </c>
      <c r="O5" t="str">
        <f t="shared" ca="1" si="3"/>
        <v>0-30 Days</v>
      </c>
    </row>
    <row r="6" spans="1:15" x14ac:dyDescent="0.3">
      <c r="A6" s="2" t="s">
        <v>38</v>
      </c>
      <c r="B6" s="3" t="s">
        <v>39</v>
      </c>
      <c r="C6" s="2" t="s">
        <v>40</v>
      </c>
      <c r="D6" s="2" t="str">
        <f t="shared" si="0"/>
        <v>May</v>
      </c>
      <c r="E6" s="24" t="s">
        <v>41</v>
      </c>
      <c r="F6" s="20" t="s">
        <v>42</v>
      </c>
      <c r="G6" s="20" t="s">
        <v>43</v>
      </c>
      <c r="H6" s="20" t="s">
        <v>44</v>
      </c>
      <c r="I6" s="4">
        <v>25000</v>
      </c>
      <c r="J6" s="4">
        <v>25000</v>
      </c>
      <c r="K6" s="9" t="s">
        <v>45</v>
      </c>
      <c r="L6">
        <f t="shared" si="1"/>
        <v>1</v>
      </c>
      <c r="M6">
        <f t="shared" ca="1" si="4"/>
        <v>41</v>
      </c>
      <c r="N6" s="15">
        <f t="shared" si="2"/>
        <v>0</v>
      </c>
      <c r="O6" t="str">
        <f t="shared" ca="1" si="3"/>
        <v>31-60 Days</v>
      </c>
    </row>
    <row r="7" spans="1:15" x14ac:dyDescent="0.3">
      <c r="A7" s="6" t="s">
        <v>46</v>
      </c>
      <c r="B7" s="7" t="s">
        <v>47</v>
      </c>
      <c r="C7" s="6" t="s">
        <v>40</v>
      </c>
      <c r="D7" s="2" t="str">
        <f t="shared" si="0"/>
        <v>Mar</v>
      </c>
      <c r="E7" s="25" t="s">
        <v>48</v>
      </c>
      <c r="F7" s="21" t="s">
        <v>49</v>
      </c>
      <c r="G7" s="21" t="s">
        <v>50</v>
      </c>
      <c r="H7" s="21" t="s">
        <v>51</v>
      </c>
      <c r="I7" s="8">
        <v>75000</v>
      </c>
      <c r="J7" s="8">
        <v>75000</v>
      </c>
      <c r="K7" s="5" t="s">
        <v>17</v>
      </c>
      <c r="L7">
        <f t="shared" si="1"/>
        <v>1</v>
      </c>
      <c r="M7">
        <f t="shared" ca="1" si="4"/>
        <v>17</v>
      </c>
      <c r="N7" s="15">
        <f t="shared" si="2"/>
        <v>0</v>
      </c>
      <c r="O7" t="str">
        <f t="shared" ca="1" si="3"/>
        <v>0-30 Days</v>
      </c>
    </row>
    <row r="8" spans="1:15" x14ac:dyDescent="0.3">
      <c r="A8" s="2" t="s">
        <v>52</v>
      </c>
      <c r="B8" s="3" t="s">
        <v>53</v>
      </c>
      <c r="C8" s="2" t="s">
        <v>40</v>
      </c>
      <c r="D8" s="2" t="str">
        <f t="shared" si="0"/>
        <v>Jul</v>
      </c>
      <c r="E8" s="24" t="s">
        <v>54</v>
      </c>
      <c r="F8" s="20" t="s">
        <v>55</v>
      </c>
      <c r="G8" s="20" t="s">
        <v>56</v>
      </c>
      <c r="H8" s="20"/>
      <c r="I8" s="4">
        <v>50000</v>
      </c>
      <c r="J8" s="4">
        <v>0</v>
      </c>
      <c r="K8" s="10" t="s">
        <v>57</v>
      </c>
      <c r="L8">
        <f t="shared" si="1"/>
        <v>2</v>
      </c>
      <c r="M8">
        <f t="shared" ca="1" si="4"/>
        <v>346</v>
      </c>
      <c r="N8" s="15">
        <f t="shared" si="2"/>
        <v>50000</v>
      </c>
      <c r="O8" t="str">
        <f t="shared" ca="1" si="3"/>
        <v>90+ Days</v>
      </c>
    </row>
    <row r="9" spans="1:15" x14ac:dyDescent="0.3">
      <c r="A9" s="6" t="s">
        <v>58</v>
      </c>
      <c r="B9" s="7" t="s">
        <v>59</v>
      </c>
      <c r="C9" s="6" t="s">
        <v>12</v>
      </c>
      <c r="D9" s="2" t="str">
        <f t="shared" si="0"/>
        <v>Aug</v>
      </c>
      <c r="E9" s="25" t="s">
        <v>60</v>
      </c>
      <c r="F9" s="21" t="s">
        <v>61</v>
      </c>
      <c r="G9" s="21" t="s">
        <v>62</v>
      </c>
      <c r="H9" s="21"/>
      <c r="I9" s="8">
        <v>15000</v>
      </c>
      <c r="J9" s="8">
        <v>0</v>
      </c>
      <c r="K9" s="11" t="s">
        <v>63</v>
      </c>
      <c r="L9">
        <f t="shared" si="1"/>
        <v>3</v>
      </c>
      <c r="M9">
        <f t="shared" ca="1" si="4"/>
        <v>293</v>
      </c>
      <c r="N9" s="15">
        <f t="shared" si="2"/>
        <v>15000</v>
      </c>
      <c r="O9" t="str">
        <f t="shared" ca="1" si="3"/>
        <v>90+ Days</v>
      </c>
    </row>
    <row r="10" spans="1:15" x14ac:dyDescent="0.3">
      <c r="A10" s="2" t="s">
        <v>64</v>
      </c>
      <c r="B10" s="3" t="s">
        <v>65</v>
      </c>
      <c r="C10" s="2" t="s">
        <v>12</v>
      </c>
      <c r="D10" s="2" t="str">
        <f t="shared" si="0"/>
        <v>Feb</v>
      </c>
      <c r="E10" s="24" t="s">
        <v>30</v>
      </c>
      <c r="F10" s="20" t="s">
        <v>66</v>
      </c>
      <c r="G10" s="20" t="s">
        <v>23</v>
      </c>
      <c r="H10" s="20"/>
      <c r="I10" s="4">
        <v>60000</v>
      </c>
      <c r="J10" s="4">
        <v>0</v>
      </c>
      <c r="K10" s="10" t="s">
        <v>57</v>
      </c>
      <c r="L10">
        <f t="shared" si="1"/>
        <v>3</v>
      </c>
      <c r="M10">
        <f t="shared" ca="1" si="4"/>
        <v>488</v>
      </c>
      <c r="N10" s="15">
        <f t="shared" si="2"/>
        <v>60000</v>
      </c>
      <c r="O10" t="str">
        <f t="shared" ca="1" si="3"/>
        <v>90+ Days</v>
      </c>
    </row>
    <row r="11" spans="1:15" x14ac:dyDescent="0.3">
      <c r="A11" s="6" t="s">
        <v>67</v>
      </c>
      <c r="B11" s="7" t="s">
        <v>68</v>
      </c>
      <c r="C11" s="6" t="s">
        <v>33</v>
      </c>
      <c r="D11" s="2" t="str">
        <f t="shared" si="0"/>
        <v>Jul</v>
      </c>
      <c r="E11" s="25" t="s">
        <v>55</v>
      </c>
      <c r="F11" s="21" t="s">
        <v>69</v>
      </c>
      <c r="G11" s="21" t="s">
        <v>70</v>
      </c>
      <c r="H11" s="21"/>
      <c r="I11" s="8">
        <v>30000</v>
      </c>
      <c r="J11" s="8">
        <v>0</v>
      </c>
      <c r="K11" s="12" t="s">
        <v>71</v>
      </c>
      <c r="L11">
        <f t="shared" si="1"/>
        <v>3</v>
      </c>
      <c r="M11">
        <f t="shared" ca="1" si="4"/>
        <v>343</v>
      </c>
      <c r="N11" s="15">
        <f t="shared" si="2"/>
        <v>30000</v>
      </c>
      <c r="O11" t="str">
        <f t="shared" ca="1" si="3"/>
        <v>90+ Days</v>
      </c>
    </row>
    <row r="12" spans="1:15" x14ac:dyDescent="0.3">
      <c r="A12" s="2" t="s">
        <v>72</v>
      </c>
      <c r="B12" s="3" t="s">
        <v>73</v>
      </c>
      <c r="C12" s="2" t="s">
        <v>26</v>
      </c>
      <c r="D12" s="2" t="str">
        <f t="shared" si="0"/>
        <v>Dec</v>
      </c>
      <c r="E12" s="24" t="s">
        <v>74</v>
      </c>
      <c r="F12" s="20" t="s">
        <v>75</v>
      </c>
      <c r="G12" s="20" t="s">
        <v>76</v>
      </c>
      <c r="H12" s="20"/>
      <c r="I12" s="4">
        <v>60000</v>
      </c>
      <c r="J12" s="4">
        <v>0</v>
      </c>
      <c r="K12" s="11" t="s">
        <v>63</v>
      </c>
      <c r="L12">
        <f t="shared" si="1"/>
        <v>1</v>
      </c>
      <c r="M12">
        <f t="shared" ca="1" si="4"/>
        <v>192</v>
      </c>
      <c r="N12" s="15">
        <f t="shared" si="2"/>
        <v>60000</v>
      </c>
      <c r="O12" t="str">
        <f t="shared" ca="1" si="3"/>
        <v>90+ Days</v>
      </c>
    </row>
    <row r="13" spans="1:15" x14ac:dyDescent="0.3">
      <c r="A13" s="6" t="s">
        <v>77</v>
      </c>
      <c r="B13" s="7" t="s">
        <v>78</v>
      </c>
      <c r="C13" s="6" t="s">
        <v>33</v>
      </c>
      <c r="D13" s="2" t="str">
        <f t="shared" si="0"/>
        <v>Feb</v>
      </c>
      <c r="E13" s="25" t="s">
        <v>79</v>
      </c>
      <c r="F13" s="21" t="s">
        <v>80</v>
      </c>
      <c r="G13" s="21" t="s">
        <v>81</v>
      </c>
      <c r="H13" s="21" t="s">
        <v>82</v>
      </c>
      <c r="I13" s="8">
        <v>50000</v>
      </c>
      <c r="J13" s="8">
        <v>50000</v>
      </c>
      <c r="K13" s="5" t="s">
        <v>17</v>
      </c>
      <c r="L13">
        <f t="shared" si="1"/>
        <v>2</v>
      </c>
      <c r="M13">
        <f t="shared" ca="1" si="4"/>
        <v>16</v>
      </c>
      <c r="N13" s="15">
        <f t="shared" si="2"/>
        <v>0</v>
      </c>
      <c r="O13" t="str">
        <f t="shared" ca="1" si="3"/>
        <v>0-30 Days</v>
      </c>
    </row>
    <row r="14" spans="1:15" x14ac:dyDescent="0.3">
      <c r="A14" s="2" t="s">
        <v>83</v>
      </c>
      <c r="B14" s="3" t="s">
        <v>84</v>
      </c>
      <c r="C14" s="2" t="s">
        <v>12</v>
      </c>
      <c r="D14" s="2" t="str">
        <f t="shared" si="0"/>
        <v>Jul</v>
      </c>
      <c r="E14" s="24" t="s">
        <v>85</v>
      </c>
      <c r="F14" s="20" t="s">
        <v>86</v>
      </c>
      <c r="G14" s="20" t="s">
        <v>87</v>
      </c>
      <c r="H14" s="20" t="s">
        <v>88</v>
      </c>
      <c r="I14" s="4">
        <v>30000</v>
      </c>
      <c r="J14" s="4">
        <v>30000</v>
      </c>
      <c r="K14" s="9" t="s">
        <v>45</v>
      </c>
      <c r="L14">
        <f t="shared" si="1"/>
        <v>2</v>
      </c>
      <c r="M14">
        <f t="shared" ca="1" si="4"/>
        <v>53</v>
      </c>
      <c r="N14" s="15">
        <f t="shared" si="2"/>
        <v>0</v>
      </c>
      <c r="O14" t="str">
        <f t="shared" ca="1" si="3"/>
        <v>31-60 Days</v>
      </c>
    </row>
    <row r="15" spans="1:15" x14ac:dyDescent="0.3">
      <c r="A15" s="6" t="s">
        <v>89</v>
      </c>
      <c r="B15" s="7" t="s">
        <v>90</v>
      </c>
      <c r="C15" s="6" t="s">
        <v>12</v>
      </c>
      <c r="D15" s="2" t="str">
        <f t="shared" si="0"/>
        <v>Nov</v>
      </c>
      <c r="E15" s="25" t="s">
        <v>91</v>
      </c>
      <c r="F15" s="21" t="s">
        <v>92</v>
      </c>
      <c r="G15" s="21" t="s">
        <v>93</v>
      </c>
      <c r="H15" s="21" t="s">
        <v>94</v>
      </c>
      <c r="I15" s="8">
        <v>25000</v>
      </c>
      <c r="J15" s="8">
        <v>25000</v>
      </c>
      <c r="K15" s="5" t="s">
        <v>17</v>
      </c>
      <c r="L15">
        <f t="shared" si="1"/>
        <v>1</v>
      </c>
      <c r="M15">
        <f t="shared" ca="1" si="4"/>
        <v>12</v>
      </c>
      <c r="N15" s="15">
        <f t="shared" si="2"/>
        <v>0</v>
      </c>
      <c r="O15" t="str">
        <f t="shared" ca="1" si="3"/>
        <v>0-30 Days</v>
      </c>
    </row>
    <row r="16" spans="1:15" x14ac:dyDescent="0.3">
      <c r="A16" s="2" t="s">
        <v>95</v>
      </c>
      <c r="B16" s="3" t="s">
        <v>84</v>
      </c>
      <c r="C16" s="2" t="s">
        <v>12</v>
      </c>
      <c r="D16" s="2" t="str">
        <f t="shared" si="0"/>
        <v>Aug</v>
      </c>
      <c r="E16" s="24" t="s">
        <v>96</v>
      </c>
      <c r="F16" s="20" t="s">
        <v>61</v>
      </c>
      <c r="G16" s="20" t="s">
        <v>62</v>
      </c>
      <c r="H16" s="20"/>
      <c r="I16" s="4">
        <v>50000</v>
      </c>
      <c r="J16" s="4">
        <v>0</v>
      </c>
      <c r="K16" s="11" t="s">
        <v>63</v>
      </c>
      <c r="L16">
        <f t="shared" si="1"/>
        <v>2</v>
      </c>
      <c r="M16">
        <f t="shared" ca="1" si="4"/>
        <v>293</v>
      </c>
      <c r="N16" s="15">
        <f t="shared" si="2"/>
        <v>50000</v>
      </c>
      <c r="O16" t="str">
        <f t="shared" ca="1" si="3"/>
        <v>90+ Days</v>
      </c>
    </row>
    <row r="17" spans="1:15" x14ac:dyDescent="0.3">
      <c r="A17" s="6" t="s">
        <v>97</v>
      </c>
      <c r="B17" s="7" t="s">
        <v>11</v>
      </c>
      <c r="C17" s="6" t="s">
        <v>12</v>
      </c>
      <c r="D17" s="2" t="str">
        <f t="shared" si="0"/>
        <v>Dec</v>
      </c>
      <c r="E17" s="25" t="s">
        <v>98</v>
      </c>
      <c r="F17" s="21" t="s">
        <v>99</v>
      </c>
      <c r="G17" s="21" t="s">
        <v>100</v>
      </c>
      <c r="H17" s="21" t="s">
        <v>101</v>
      </c>
      <c r="I17" s="8">
        <v>40000</v>
      </c>
      <c r="J17" s="8">
        <v>40000</v>
      </c>
      <c r="K17" s="9" t="s">
        <v>45</v>
      </c>
      <c r="L17">
        <f t="shared" si="1"/>
        <v>3</v>
      </c>
      <c r="M17">
        <f t="shared" ca="1" si="4"/>
        <v>57</v>
      </c>
      <c r="N17" s="15">
        <f t="shared" si="2"/>
        <v>0</v>
      </c>
      <c r="O17" t="str">
        <f t="shared" ca="1" si="3"/>
        <v>31-60 Days</v>
      </c>
    </row>
    <row r="18" spans="1:15" x14ac:dyDescent="0.3">
      <c r="A18" s="2" t="s">
        <v>102</v>
      </c>
      <c r="B18" s="3" t="s">
        <v>103</v>
      </c>
      <c r="C18" s="2" t="s">
        <v>12</v>
      </c>
      <c r="D18" s="2" t="str">
        <f t="shared" si="0"/>
        <v>Jan</v>
      </c>
      <c r="E18" s="24" t="s">
        <v>104</v>
      </c>
      <c r="F18" s="20" t="s">
        <v>105</v>
      </c>
      <c r="G18" s="20" t="s">
        <v>106</v>
      </c>
      <c r="H18" s="20"/>
      <c r="I18" s="4">
        <v>8000</v>
      </c>
      <c r="J18" s="4">
        <v>0</v>
      </c>
      <c r="K18" s="10" t="s">
        <v>57</v>
      </c>
      <c r="L18">
        <f t="shared" si="1"/>
        <v>1</v>
      </c>
      <c r="M18">
        <f t="shared" ca="1" si="4"/>
        <v>502</v>
      </c>
      <c r="N18" s="15">
        <f t="shared" si="2"/>
        <v>8000</v>
      </c>
      <c r="O18" t="str">
        <f t="shared" ca="1" si="3"/>
        <v>90+ Days</v>
      </c>
    </row>
    <row r="19" spans="1:15" x14ac:dyDescent="0.3">
      <c r="A19" s="6" t="s">
        <v>107</v>
      </c>
      <c r="B19" s="7" t="s">
        <v>108</v>
      </c>
      <c r="C19" s="6" t="s">
        <v>12</v>
      </c>
      <c r="D19" s="2" t="str">
        <f t="shared" si="0"/>
        <v>May</v>
      </c>
      <c r="E19" s="25" t="s">
        <v>109</v>
      </c>
      <c r="F19" s="21" t="s">
        <v>110</v>
      </c>
      <c r="G19" s="21" t="s">
        <v>111</v>
      </c>
      <c r="H19" s="21" t="s">
        <v>112</v>
      </c>
      <c r="I19" s="8">
        <v>30000</v>
      </c>
      <c r="J19" s="8">
        <v>7500</v>
      </c>
      <c r="K19" s="13" t="s">
        <v>113</v>
      </c>
      <c r="L19">
        <f t="shared" si="1"/>
        <v>1</v>
      </c>
      <c r="M19">
        <f t="shared" ca="1" si="4"/>
        <v>25</v>
      </c>
      <c r="N19" s="15">
        <f t="shared" si="2"/>
        <v>22500</v>
      </c>
      <c r="O19" t="str">
        <f t="shared" ca="1" si="3"/>
        <v>0-30 Days</v>
      </c>
    </row>
    <row r="20" spans="1:15" x14ac:dyDescent="0.3">
      <c r="A20" s="2" t="s">
        <v>114</v>
      </c>
      <c r="B20" s="3" t="s">
        <v>115</v>
      </c>
      <c r="C20" s="2" t="s">
        <v>12</v>
      </c>
      <c r="D20" s="2" t="str">
        <f t="shared" si="0"/>
        <v>Sep</v>
      </c>
      <c r="E20" s="24" t="s">
        <v>116</v>
      </c>
      <c r="F20" s="20" t="s">
        <v>117</v>
      </c>
      <c r="G20" s="20" t="s">
        <v>34</v>
      </c>
      <c r="H20" s="20" t="s">
        <v>118</v>
      </c>
      <c r="I20" s="4">
        <v>22000</v>
      </c>
      <c r="J20" s="4">
        <v>22000</v>
      </c>
      <c r="K20" s="5" t="s">
        <v>17</v>
      </c>
      <c r="L20">
        <f t="shared" si="1"/>
        <v>2</v>
      </c>
      <c r="M20">
        <f t="shared" ca="1" si="4"/>
        <v>9</v>
      </c>
      <c r="N20" s="15">
        <f t="shared" si="2"/>
        <v>0</v>
      </c>
      <c r="O20" t="str">
        <f t="shared" ca="1" si="3"/>
        <v>0-30 Days</v>
      </c>
    </row>
    <row r="21" spans="1:15" x14ac:dyDescent="0.3">
      <c r="A21" s="6" t="s">
        <v>119</v>
      </c>
      <c r="B21" s="7" t="s">
        <v>120</v>
      </c>
      <c r="C21" s="6" t="s">
        <v>40</v>
      </c>
      <c r="D21" s="2" t="str">
        <f t="shared" si="0"/>
        <v>Oct</v>
      </c>
      <c r="E21" s="25" t="s">
        <v>34</v>
      </c>
      <c r="F21" s="21" t="s">
        <v>121</v>
      </c>
      <c r="G21" s="21" t="s">
        <v>122</v>
      </c>
      <c r="H21" s="21"/>
      <c r="I21" s="8">
        <v>50000</v>
      </c>
      <c r="J21" s="8">
        <v>0</v>
      </c>
      <c r="K21" s="12" t="s">
        <v>71</v>
      </c>
      <c r="L21">
        <f t="shared" si="1"/>
        <v>3</v>
      </c>
      <c r="M21">
        <f t="shared" ca="1" si="4"/>
        <v>241</v>
      </c>
      <c r="N21" s="15">
        <f t="shared" si="2"/>
        <v>50000</v>
      </c>
      <c r="O21" t="str">
        <f t="shared" ca="1" si="3"/>
        <v>90+ Days</v>
      </c>
    </row>
    <row r="22" spans="1:15" x14ac:dyDescent="0.3">
      <c r="A22" s="2" t="s">
        <v>123</v>
      </c>
      <c r="B22" s="3" t="s">
        <v>124</v>
      </c>
      <c r="C22" s="2" t="s">
        <v>12</v>
      </c>
      <c r="D22" s="2" t="str">
        <f t="shared" si="0"/>
        <v>Oct</v>
      </c>
      <c r="E22" s="24" t="s">
        <v>125</v>
      </c>
      <c r="F22" s="20" t="s">
        <v>126</v>
      </c>
      <c r="G22" s="20" t="s">
        <v>127</v>
      </c>
      <c r="H22" s="20" t="s">
        <v>128</v>
      </c>
      <c r="I22" s="4">
        <v>100000</v>
      </c>
      <c r="J22" s="4">
        <v>100000</v>
      </c>
      <c r="K22" s="5" t="s">
        <v>17</v>
      </c>
      <c r="L22">
        <f t="shared" si="1"/>
        <v>2</v>
      </c>
      <c r="M22">
        <f t="shared" ca="1" si="4"/>
        <v>9</v>
      </c>
      <c r="N22" s="15">
        <f t="shared" si="2"/>
        <v>0</v>
      </c>
      <c r="O22" t="str">
        <f t="shared" ca="1" si="3"/>
        <v>0-30 Days</v>
      </c>
    </row>
    <row r="23" spans="1:15" x14ac:dyDescent="0.3">
      <c r="A23" s="6" t="s">
        <v>129</v>
      </c>
      <c r="B23" s="7" t="s">
        <v>130</v>
      </c>
      <c r="C23" s="6" t="s">
        <v>12</v>
      </c>
      <c r="D23" s="2" t="str">
        <f t="shared" si="0"/>
        <v>Sep</v>
      </c>
      <c r="E23" s="25" t="s">
        <v>131</v>
      </c>
      <c r="F23" s="21" t="s">
        <v>132</v>
      </c>
      <c r="G23" s="21" t="s">
        <v>133</v>
      </c>
      <c r="H23" s="21"/>
      <c r="I23" s="8">
        <v>8000</v>
      </c>
      <c r="J23" s="8">
        <v>0</v>
      </c>
      <c r="K23" s="10" t="s">
        <v>57</v>
      </c>
      <c r="L23">
        <f t="shared" si="1"/>
        <v>1</v>
      </c>
      <c r="M23">
        <f t="shared" ca="1" si="4"/>
        <v>278</v>
      </c>
      <c r="N23" s="15">
        <f t="shared" si="2"/>
        <v>8000</v>
      </c>
      <c r="O23" t="str">
        <f t="shared" ca="1" si="3"/>
        <v>90+ Days</v>
      </c>
    </row>
    <row r="24" spans="1:15" x14ac:dyDescent="0.3">
      <c r="A24" s="2" t="s">
        <v>134</v>
      </c>
      <c r="B24" s="3" t="s">
        <v>135</v>
      </c>
      <c r="C24" s="2" t="s">
        <v>33</v>
      </c>
      <c r="D24" s="2" t="str">
        <f t="shared" si="0"/>
        <v>Nov</v>
      </c>
      <c r="E24" s="24" t="s">
        <v>136</v>
      </c>
      <c r="F24" s="20" t="s">
        <v>137</v>
      </c>
      <c r="G24" s="20" t="s">
        <v>98</v>
      </c>
      <c r="H24" s="20" t="s">
        <v>138</v>
      </c>
      <c r="I24" s="4">
        <v>18000</v>
      </c>
      <c r="J24" s="4">
        <v>18000</v>
      </c>
      <c r="K24" s="9" t="s">
        <v>45</v>
      </c>
      <c r="L24">
        <f t="shared" si="1"/>
        <v>1</v>
      </c>
      <c r="M24">
        <f t="shared" ca="1" si="4"/>
        <v>43</v>
      </c>
      <c r="N24" s="15">
        <f t="shared" si="2"/>
        <v>0</v>
      </c>
      <c r="O24" t="str">
        <f t="shared" ca="1" si="3"/>
        <v>31-60 Days</v>
      </c>
    </row>
    <row r="25" spans="1:15" x14ac:dyDescent="0.3">
      <c r="A25" s="6" t="s">
        <v>139</v>
      </c>
      <c r="B25" s="7" t="s">
        <v>65</v>
      </c>
      <c r="C25" s="6" t="s">
        <v>12</v>
      </c>
      <c r="D25" s="2" t="str">
        <f t="shared" si="0"/>
        <v>Nov</v>
      </c>
      <c r="E25" s="25" t="s">
        <v>140</v>
      </c>
      <c r="F25" s="21" t="s">
        <v>37</v>
      </c>
      <c r="G25" s="21" t="s">
        <v>141</v>
      </c>
      <c r="H25" s="21" t="s">
        <v>142</v>
      </c>
      <c r="I25" s="8">
        <v>45000</v>
      </c>
      <c r="J25" s="8">
        <v>45000</v>
      </c>
      <c r="K25" s="5" t="s">
        <v>17</v>
      </c>
      <c r="L25">
        <f t="shared" si="1"/>
        <v>2</v>
      </c>
      <c r="M25">
        <f t="shared" ca="1" si="4"/>
        <v>22</v>
      </c>
      <c r="N25" s="15">
        <f t="shared" si="2"/>
        <v>0</v>
      </c>
      <c r="O25" t="str">
        <f t="shared" ca="1" si="3"/>
        <v>0-30 Days</v>
      </c>
    </row>
    <row r="26" spans="1:15" x14ac:dyDescent="0.3">
      <c r="A26" s="2" t="s">
        <v>143</v>
      </c>
      <c r="B26" s="3" t="s">
        <v>144</v>
      </c>
      <c r="C26" s="2" t="s">
        <v>12</v>
      </c>
      <c r="D26" s="2" t="str">
        <f t="shared" si="0"/>
        <v>Dec</v>
      </c>
      <c r="E26" s="24" t="s">
        <v>145</v>
      </c>
      <c r="F26" s="20" t="s">
        <v>146</v>
      </c>
      <c r="G26" s="20" t="s">
        <v>147</v>
      </c>
      <c r="H26" s="20" t="s">
        <v>148</v>
      </c>
      <c r="I26" s="4">
        <v>15000</v>
      </c>
      <c r="J26" s="4">
        <v>15000</v>
      </c>
      <c r="K26" s="9" t="s">
        <v>45</v>
      </c>
      <c r="L26">
        <f t="shared" si="1"/>
        <v>3</v>
      </c>
      <c r="M26">
        <f t="shared" ca="1" si="4"/>
        <v>48</v>
      </c>
      <c r="N26" s="15">
        <f t="shared" si="2"/>
        <v>0</v>
      </c>
      <c r="O26" t="str">
        <f t="shared" ca="1" si="3"/>
        <v>31-60 Days</v>
      </c>
    </row>
    <row r="27" spans="1:15" x14ac:dyDescent="0.3">
      <c r="A27" s="6" t="s">
        <v>149</v>
      </c>
      <c r="B27" s="7" t="s">
        <v>150</v>
      </c>
      <c r="C27" s="6" t="s">
        <v>33</v>
      </c>
      <c r="D27" s="2" t="str">
        <f t="shared" si="0"/>
        <v>May</v>
      </c>
      <c r="E27" s="25" t="s">
        <v>151</v>
      </c>
      <c r="F27" s="21" t="s">
        <v>152</v>
      </c>
      <c r="G27" s="21" t="s">
        <v>153</v>
      </c>
      <c r="H27" s="21" t="s">
        <v>154</v>
      </c>
      <c r="I27" s="8">
        <v>75000</v>
      </c>
      <c r="J27" s="8">
        <v>75000</v>
      </c>
      <c r="K27" s="5" t="s">
        <v>17</v>
      </c>
      <c r="L27">
        <f t="shared" si="1"/>
        <v>3</v>
      </c>
      <c r="M27">
        <f t="shared" ca="1" si="4"/>
        <v>18</v>
      </c>
      <c r="N27" s="15">
        <f t="shared" si="2"/>
        <v>0</v>
      </c>
      <c r="O27" t="str">
        <f t="shared" ca="1" si="3"/>
        <v>0-30 Days</v>
      </c>
    </row>
    <row r="28" spans="1:15" x14ac:dyDescent="0.3">
      <c r="A28" s="2" t="s">
        <v>155</v>
      </c>
      <c r="B28" s="3" t="s">
        <v>84</v>
      </c>
      <c r="C28" s="2" t="s">
        <v>12</v>
      </c>
      <c r="D28" s="2" t="str">
        <f t="shared" si="0"/>
        <v>Aug</v>
      </c>
      <c r="E28" s="24" t="s">
        <v>156</v>
      </c>
      <c r="F28" s="20" t="s">
        <v>157</v>
      </c>
      <c r="G28" s="20" t="s">
        <v>158</v>
      </c>
      <c r="H28" s="20"/>
      <c r="I28" s="4">
        <v>50000</v>
      </c>
      <c r="J28" s="4">
        <v>0</v>
      </c>
      <c r="K28" s="11" t="s">
        <v>63</v>
      </c>
      <c r="L28">
        <f t="shared" si="1"/>
        <v>1</v>
      </c>
      <c r="M28">
        <f t="shared" ca="1" si="4"/>
        <v>298</v>
      </c>
      <c r="N28" s="15">
        <f t="shared" si="2"/>
        <v>50000</v>
      </c>
      <c r="O28" t="str">
        <f t="shared" ca="1" si="3"/>
        <v>90+ Days</v>
      </c>
    </row>
    <row r="29" spans="1:15" x14ac:dyDescent="0.3">
      <c r="A29" s="6" t="s">
        <v>159</v>
      </c>
      <c r="B29" s="7" t="s">
        <v>160</v>
      </c>
      <c r="C29" s="6" t="s">
        <v>40</v>
      </c>
      <c r="D29" s="2" t="str">
        <f t="shared" si="0"/>
        <v>Apr</v>
      </c>
      <c r="E29" s="25" t="s">
        <v>161</v>
      </c>
      <c r="F29" s="21" t="s">
        <v>162</v>
      </c>
      <c r="G29" s="21" t="s">
        <v>163</v>
      </c>
      <c r="H29" s="21"/>
      <c r="I29" s="8">
        <v>15000</v>
      </c>
      <c r="J29" s="8">
        <v>0</v>
      </c>
      <c r="K29" s="10" t="s">
        <v>57</v>
      </c>
      <c r="L29">
        <f t="shared" si="1"/>
        <v>3</v>
      </c>
      <c r="M29">
        <f t="shared" ca="1" si="4"/>
        <v>437</v>
      </c>
      <c r="N29" s="15">
        <f t="shared" si="2"/>
        <v>15000</v>
      </c>
      <c r="O29" t="str">
        <f t="shared" ca="1" si="3"/>
        <v>90+ Days</v>
      </c>
    </row>
    <row r="30" spans="1:15" x14ac:dyDescent="0.3">
      <c r="A30" s="2" t="s">
        <v>164</v>
      </c>
      <c r="B30" s="3" t="s">
        <v>165</v>
      </c>
      <c r="C30" s="2" t="s">
        <v>26</v>
      </c>
      <c r="D30" s="2" t="str">
        <f t="shared" si="0"/>
        <v>Nov</v>
      </c>
      <c r="E30" s="24" t="s">
        <v>166</v>
      </c>
      <c r="F30" s="20" t="s">
        <v>127</v>
      </c>
      <c r="G30" s="20" t="s">
        <v>167</v>
      </c>
      <c r="H30" s="20" t="s">
        <v>168</v>
      </c>
      <c r="I30" s="4">
        <v>30000</v>
      </c>
      <c r="J30" s="4">
        <v>30000</v>
      </c>
      <c r="K30" s="5" t="s">
        <v>17</v>
      </c>
      <c r="L30">
        <f t="shared" si="1"/>
        <v>3</v>
      </c>
      <c r="M30">
        <f t="shared" ca="1" si="4"/>
        <v>10</v>
      </c>
      <c r="N30" s="15">
        <f t="shared" si="2"/>
        <v>0</v>
      </c>
      <c r="O30" t="str">
        <f t="shared" ca="1" si="3"/>
        <v>0-30 Days</v>
      </c>
    </row>
    <row r="31" spans="1:15" x14ac:dyDescent="0.3">
      <c r="A31" s="6" t="s">
        <v>169</v>
      </c>
      <c r="B31" s="7" t="s">
        <v>170</v>
      </c>
      <c r="C31" s="6" t="s">
        <v>12</v>
      </c>
      <c r="D31" s="2" t="str">
        <f t="shared" si="0"/>
        <v>Sep</v>
      </c>
      <c r="E31" s="25" t="s">
        <v>171</v>
      </c>
      <c r="F31" s="21" t="s">
        <v>172</v>
      </c>
      <c r="G31" s="21" t="s">
        <v>173</v>
      </c>
      <c r="H31" s="21" t="s">
        <v>174</v>
      </c>
      <c r="I31" s="8">
        <v>75000</v>
      </c>
      <c r="J31" s="8">
        <v>75000</v>
      </c>
      <c r="K31" s="5" t="s">
        <v>17</v>
      </c>
      <c r="L31">
        <f t="shared" si="1"/>
        <v>1</v>
      </c>
      <c r="M31">
        <f t="shared" ca="1" si="4"/>
        <v>8</v>
      </c>
      <c r="N31" s="15">
        <f t="shared" si="2"/>
        <v>0</v>
      </c>
      <c r="O31" t="str">
        <f t="shared" ca="1" si="3"/>
        <v>0-30 Days</v>
      </c>
    </row>
    <row r="32" spans="1:15" x14ac:dyDescent="0.3">
      <c r="A32" s="2" t="s">
        <v>175</v>
      </c>
      <c r="B32" s="3" t="s">
        <v>176</v>
      </c>
      <c r="C32" s="2" t="s">
        <v>12</v>
      </c>
      <c r="D32" s="2" t="str">
        <f t="shared" si="0"/>
        <v>Jun</v>
      </c>
      <c r="E32" s="24" t="s">
        <v>154</v>
      </c>
      <c r="F32" s="20" t="s">
        <v>177</v>
      </c>
      <c r="G32" s="20" t="s">
        <v>69</v>
      </c>
      <c r="H32" s="20" t="s">
        <v>178</v>
      </c>
      <c r="I32" s="4">
        <v>8000</v>
      </c>
      <c r="J32" s="4">
        <v>8000</v>
      </c>
      <c r="K32" s="5" t="s">
        <v>17</v>
      </c>
      <c r="L32">
        <f t="shared" si="1"/>
        <v>1</v>
      </c>
      <c r="M32">
        <f t="shared" ca="1" si="4"/>
        <v>23</v>
      </c>
      <c r="N32" s="15">
        <f t="shared" si="2"/>
        <v>0</v>
      </c>
      <c r="O32" t="str">
        <f t="shared" ca="1" si="3"/>
        <v>0-30 Days</v>
      </c>
    </row>
    <row r="33" spans="1:15" x14ac:dyDescent="0.3">
      <c r="A33" s="6" t="s">
        <v>179</v>
      </c>
      <c r="B33" s="7" t="s">
        <v>180</v>
      </c>
      <c r="C33" s="6" t="s">
        <v>33</v>
      </c>
      <c r="D33" s="2" t="str">
        <f t="shared" si="0"/>
        <v>Feb</v>
      </c>
      <c r="E33" s="25" t="s">
        <v>66</v>
      </c>
      <c r="F33" s="21" t="s">
        <v>29</v>
      </c>
      <c r="G33" s="21" t="s">
        <v>181</v>
      </c>
      <c r="H33" s="21"/>
      <c r="I33" s="8">
        <v>35000</v>
      </c>
      <c r="J33" s="8">
        <v>0</v>
      </c>
      <c r="K33" s="10" t="s">
        <v>57</v>
      </c>
      <c r="L33">
        <f t="shared" si="1"/>
        <v>3</v>
      </c>
      <c r="M33">
        <f t="shared" ca="1" si="4"/>
        <v>485</v>
      </c>
      <c r="N33" s="15">
        <f t="shared" si="2"/>
        <v>35000</v>
      </c>
      <c r="O33" t="str">
        <f t="shared" ca="1" si="3"/>
        <v>90+ Days</v>
      </c>
    </row>
    <row r="34" spans="1:15" x14ac:dyDescent="0.3">
      <c r="A34" s="2" t="s">
        <v>182</v>
      </c>
      <c r="B34" s="3" t="s">
        <v>160</v>
      </c>
      <c r="C34" s="2" t="s">
        <v>40</v>
      </c>
      <c r="D34" s="2" t="str">
        <f t="shared" si="0"/>
        <v>Sep</v>
      </c>
      <c r="E34" s="24" t="s">
        <v>172</v>
      </c>
      <c r="F34" s="20" t="s">
        <v>183</v>
      </c>
      <c r="G34" s="20" t="s">
        <v>184</v>
      </c>
      <c r="H34" s="20" t="s">
        <v>136</v>
      </c>
      <c r="I34" s="4">
        <v>20000</v>
      </c>
      <c r="J34" s="4">
        <v>20000</v>
      </c>
      <c r="K34" s="9" t="s">
        <v>45</v>
      </c>
      <c r="L34">
        <f t="shared" si="1"/>
        <v>1</v>
      </c>
      <c r="M34">
        <f t="shared" ca="1" si="4"/>
        <v>48</v>
      </c>
      <c r="N34" s="15">
        <f t="shared" si="2"/>
        <v>0</v>
      </c>
      <c r="O34" t="str">
        <f t="shared" ca="1" si="3"/>
        <v>31-60 Days</v>
      </c>
    </row>
    <row r="35" spans="1:15" x14ac:dyDescent="0.3">
      <c r="A35" s="6" t="s">
        <v>185</v>
      </c>
      <c r="B35" s="7" t="s">
        <v>186</v>
      </c>
      <c r="C35" s="6" t="s">
        <v>26</v>
      </c>
      <c r="D35" s="2" t="str">
        <f t="shared" si="0"/>
        <v>May</v>
      </c>
      <c r="E35" s="25" t="s">
        <v>187</v>
      </c>
      <c r="F35" s="21" t="s">
        <v>110</v>
      </c>
      <c r="G35" s="21" t="s">
        <v>111</v>
      </c>
      <c r="H35" s="21"/>
      <c r="I35" s="8">
        <v>18000</v>
      </c>
      <c r="J35" s="8">
        <v>0</v>
      </c>
      <c r="K35" s="11" t="s">
        <v>63</v>
      </c>
      <c r="L35">
        <f t="shared" si="1"/>
        <v>3</v>
      </c>
      <c r="M35">
        <f t="shared" ca="1" si="4"/>
        <v>393</v>
      </c>
      <c r="N35" s="15">
        <f t="shared" si="2"/>
        <v>18000</v>
      </c>
      <c r="O35" t="str">
        <f t="shared" ca="1" si="3"/>
        <v>90+ Days</v>
      </c>
    </row>
    <row r="36" spans="1:15" x14ac:dyDescent="0.3">
      <c r="A36" s="2" t="s">
        <v>188</v>
      </c>
      <c r="B36" s="3" t="s">
        <v>170</v>
      </c>
      <c r="C36" s="2" t="s">
        <v>12</v>
      </c>
      <c r="D36" s="2" t="str">
        <f t="shared" si="0"/>
        <v>Dec</v>
      </c>
      <c r="E36" s="24" t="s">
        <v>189</v>
      </c>
      <c r="F36" s="20" t="s">
        <v>190</v>
      </c>
      <c r="G36" s="20" t="s">
        <v>191</v>
      </c>
      <c r="H36" s="20" t="s">
        <v>192</v>
      </c>
      <c r="I36" s="4">
        <v>60000</v>
      </c>
      <c r="J36" s="4">
        <v>60000</v>
      </c>
      <c r="K36" s="5" t="s">
        <v>17</v>
      </c>
      <c r="L36">
        <f t="shared" si="1"/>
        <v>1</v>
      </c>
      <c r="M36">
        <f t="shared" ca="1" si="4"/>
        <v>26</v>
      </c>
      <c r="N36" s="15">
        <f t="shared" si="2"/>
        <v>0</v>
      </c>
      <c r="O36" t="str">
        <f t="shared" ca="1" si="3"/>
        <v>0-30 Days</v>
      </c>
    </row>
    <row r="37" spans="1:15" x14ac:dyDescent="0.3">
      <c r="A37" s="6" t="s">
        <v>193</v>
      </c>
      <c r="B37" s="7" t="s">
        <v>115</v>
      </c>
      <c r="C37" s="6" t="s">
        <v>12</v>
      </c>
      <c r="D37" s="2" t="str">
        <f t="shared" si="0"/>
        <v>Jul</v>
      </c>
      <c r="E37" s="25" t="s">
        <v>86</v>
      </c>
      <c r="F37" s="21" t="s">
        <v>194</v>
      </c>
      <c r="G37" s="21" t="s">
        <v>195</v>
      </c>
      <c r="H37" s="21" t="s">
        <v>196</v>
      </c>
      <c r="I37" s="8">
        <v>45000</v>
      </c>
      <c r="J37" s="8">
        <v>45000</v>
      </c>
      <c r="K37" s="5" t="s">
        <v>17</v>
      </c>
      <c r="L37">
        <f t="shared" si="1"/>
        <v>2</v>
      </c>
      <c r="M37">
        <f t="shared" ca="1" si="4"/>
        <v>12</v>
      </c>
      <c r="N37" s="15">
        <f t="shared" si="2"/>
        <v>0</v>
      </c>
      <c r="O37" t="str">
        <f t="shared" ca="1" si="3"/>
        <v>0-30 Days</v>
      </c>
    </row>
    <row r="38" spans="1:15" x14ac:dyDescent="0.3">
      <c r="A38" s="2" t="s">
        <v>197</v>
      </c>
      <c r="B38" s="3" t="s">
        <v>198</v>
      </c>
      <c r="C38" s="2" t="s">
        <v>26</v>
      </c>
      <c r="D38" s="2" t="str">
        <f t="shared" si="0"/>
        <v>Feb</v>
      </c>
      <c r="E38" s="24" t="s">
        <v>199</v>
      </c>
      <c r="F38" s="20" t="s">
        <v>200</v>
      </c>
      <c r="G38" s="20" t="s">
        <v>201</v>
      </c>
      <c r="H38" s="20" t="s">
        <v>202</v>
      </c>
      <c r="I38" s="4">
        <v>5000</v>
      </c>
      <c r="J38" s="4">
        <v>5000</v>
      </c>
      <c r="K38" s="9" t="s">
        <v>45</v>
      </c>
      <c r="L38">
        <f t="shared" si="1"/>
        <v>2</v>
      </c>
      <c r="M38">
        <f t="shared" ca="1" si="4"/>
        <v>38</v>
      </c>
      <c r="N38" s="15">
        <f t="shared" si="2"/>
        <v>0</v>
      </c>
      <c r="O38" t="str">
        <f t="shared" ca="1" si="3"/>
        <v>31-60 Days</v>
      </c>
    </row>
    <row r="39" spans="1:15" x14ac:dyDescent="0.3">
      <c r="A39" s="6" t="s">
        <v>203</v>
      </c>
      <c r="B39" s="7" t="s">
        <v>39</v>
      </c>
      <c r="C39" s="6" t="s">
        <v>40</v>
      </c>
      <c r="D39" s="2" t="str">
        <f t="shared" si="0"/>
        <v>Apr</v>
      </c>
      <c r="E39" s="25" t="s">
        <v>204</v>
      </c>
      <c r="F39" s="21" t="s">
        <v>205</v>
      </c>
      <c r="G39" s="21" t="s">
        <v>42</v>
      </c>
      <c r="H39" s="21"/>
      <c r="I39" s="8">
        <v>10000</v>
      </c>
      <c r="J39" s="8">
        <v>0</v>
      </c>
      <c r="K39" s="12" t="s">
        <v>71</v>
      </c>
      <c r="L39">
        <f t="shared" si="1"/>
        <v>1</v>
      </c>
      <c r="M39">
        <f t="shared" ca="1" si="4"/>
        <v>418</v>
      </c>
      <c r="N39" s="15">
        <f t="shared" si="2"/>
        <v>10000</v>
      </c>
      <c r="O39" t="str">
        <f t="shared" ca="1" si="3"/>
        <v>90+ Days</v>
      </c>
    </row>
    <row r="40" spans="1:15" x14ac:dyDescent="0.3">
      <c r="A40" s="2" t="s">
        <v>206</v>
      </c>
      <c r="B40" s="3" t="s">
        <v>207</v>
      </c>
      <c r="C40" s="2" t="s">
        <v>12</v>
      </c>
      <c r="D40" s="2" t="str">
        <f t="shared" si="0"/>
        <v>Apr</v>
      </c>
      <c r="E40" s="24" t="s">
        <v>208</v>
      </c>
      <c r="F40" s="20" t="s">
        <v>209</v>
      </c>
      <c r="G40" s="20" t="s">
        <v>210</v>
      </c>
      <c r="H40" s="20"/>
      <c r="I40" s="4">
        <v>8000</v>
      </c>
      <c r="J40" s="4">
        <v>0</v>
      </c>
      <c r="K40" s="10" t="s">
        <v>57</v>
      </c>
      <c r="L40">
        <f t="shared" si="1"/>
        <v>1</v>
      </c>
      <c r="M40">
        <f t="shared" ca="1" si="4"/>
        <v>413</v>
      </c>
      <c r="N40" s="15">
        <f t="shared" si="2"/>
        <v>8000</v>
      </c>
      <c r="O40" t="str">
        <f t="shared" ca="1" si="3"/>
        <v>90+ Days</v>
      </c>
    </row>
    <row r="41" spans="1:15" x14ac:dyDescent="0.3">
      <c r="A41" s="6" t="s">
        <v>211</v>
      </c>
      <c r="B41" s="7" t="s">
        <v>212</v>
      </c>
      <c r="C41" s="6" t="s">
        <v>12</v>
      </c>
      <c r="D41" s="2" t="str">
        <f t="shared" si="0"/>
        <v>Sep</v>
      </c>
      <c r="E41" s="25" t="s">
        <v>158</v>
      </c>
      <c r="F41" s="21" t="s">
        <v>213</v>
      </c>
      <c r="G41" s="21" t="s">
        <v>214</v>
      </c>
      <c r="H41" s="21" t="s">
        <v>215</v>
      </c>
      <c r="I41" s="8">
        <v>50000</v>
      </c>
      <c r="J41" s="8">
        <v>50000</v>
      </c>
      <c r="K41" s="9" t="s">
        <v>45</v>
      </c>
      <c r="L41">
        <f t="shared" si="1"/>
        <v>1</v>
      </c>
      <c r="M41">
        <f t="shared" ca="1" si="4"/>
        <v>37</v>
      </c>
      <c r="N41" s="15">
        <f t="shared" si="2"/>
        <v>0</v>
      </c>
      <c r="O41" t="str">
        <f t="shared" ca="1" si="3"/>
        <v>31-60 Days</v>
      </c>
    </row>
    <row r="42" spans="1:15" x14ac:dyDescent="0.3">
      <c r="A42" s="2" t="s">
        <v>216</v>
      </c>
      <c r="B42" s="3" t="s">
        <v>170</v>
      </c>
      <c r="C42" s="2" t="s">
        <v>12</v>
      </c>
      <c r="D42" s="2" t="str">
        <f t="shared" si="0"/>
        <v>Mar</v>
      </c>
      <c r="E42" s="24" t="s">
        <v>16</v>
      </c>
      <c r="F42" s="20" t="s">
        <v>217</v>
      </c>
      <c r="G42" s="20" t="s">
        <v>218</v>
      </c>
      <c r="H42" s="20" t="s">
        <v>219</v>
      </c>
      <c r="I42" s="4">
        <v>35000</v>
      </c>
      <c r="J42" s="4">
        <v>35000</v>
      </c>
      <c r="K42" s="5" t="s">
        <v>17</v>
      </c>
      <c r="L42">
        <f t="shared" si="1"/>
        <v>3</v>
      </c>
      <c r="M42">
        <f t="shared" ca="1" si="4"/>
        <v>20</v>
      </c>
      <c r="N42" s="15">
        <f t="shared" si="2"/>
        <v>0</v>
      </c>
      <c r="O42" t="str">
        <f t="shared" ca="1" si="3"/>
        <v>0-30 Days</v>
      </c>
    </row>
    <row r="43" spans="1:15" x14ac:dyDescent="0.3">
      <c r="A43" s="6" t="s">
        <v>220</v>
      </c>
      <c r="B43" s="7" t="s">
        <v>221</v>
      </c>
      <c r="C43" s="6" t="s">
        <v>12</v>
      </c>
      <c r="D43" s="2" t="str">
        <f t="shared" si="0"/>
        <v>Apr</v>
      </c>
      <c r="E43" s="25" t="s">
        <v>51</v>
      </c>
      <c r="F43" s="21" t="s">
        <v>222</v>
      </c>
      <c r="G43" s="21" t="s">
        <v>223</v>
      </c>
      <c r="H43" s="21" t="s">
        <v>224</v>
      </c>
      <c r="I43" s="8">
        <v>15000</v>
      </c>
      <c r="J43" s="8">
        <v>15000</v>
      </c>
      <c r="K43" s="9" t="s">
        <v>45</v>
      </c>
      <c r="L43">
        <f t="shared" si="1"/>
        <v>1</v>
      </c>
      <c r="M43">
        <f t="shared" ca="1" si="4"/>
        <v>42</v>
      </c>
      <c r="N43" s="15">
        <f t="shared" si="2"/>
        <v>0</v>
      </c>
      <c r="O43" t="str">
        <f t="shared" ca="1" si="3"/>
        <v>31-60 Days</v>
      </c>
    </row>
    <row r="44" spans="1:15" x14ac:dyDescent="0.3">
      <c r="A44" s="2" t="s">
        <v>225</v>
      </c>
      <c r="B44" s="3" t="s">
        <v>124</v>
      </c>
      <c r="C44" s="2" t="s">
        <v>12</v>
      </c>
      <c r="D44" s="2" t="str">
        <f t="shared" si="0"/>
        <v>Jul</v>
      </c>
      <c r="E44" s="24" t="s">
        <v>226</v>
      </c>
      <c r="F44" s="20" t="s">
        <v>227</v>
      </c>
      <c r="G44" s="20" t="s">
        <v>228</v>
      </c>
      <c r="H44" s="20" t="s">
        <v>158</v>
      </c>
      <c r="I44" s="4">
        <v>8000</v>
      </c>
      <c r="J44" s="4">
        <v>8000</v>
      </c>
      <c r="K44" s="9" t="s">
        <v>45</v>
      </c>
      <c r="L44">
        <f t="shared" si="1"/>
        <v>2</v>
      </c>
      <c r="M44">
        <f t="shared" ca="1" si="4"/>
        <v>51</v>
      </c>
      <c r="N44" s="15">
        <f t="shared" si="2"/>
        <v>0</v>
      </c>
      <c r="O44" t="str">
        <f t="shared" ca="1" si="3"/>
        <v>31-60 Days</v>
      </c>
    </row>
    <row r="45" spans="1:15" x14ac:dyDescent="0.3">
      <c r="A45" s="6" t="s">
        <v>229</v>
      </c>
      <c r="B45" s="7" t="s">
        <v>53</v>
      </c>
      <c r="C45" s="6" t="s">
        <v>40</v>
      </c>
      <c r="D45" s="2" t="str">
        <f t="shared" si="0"/>
        <v>Feb</v>
      </c>
      <c r="E45" s="25" t="s">
        <v>230</v>
      </c>
      <c r="F45" s="21" t="s">
        <v>231</v>
      </c>
      <c r="G45" s="21" t="s">
        <v>232</v>
      </c>
      <c r="H45" s="21"/>
      <c r="I45" s="8">
        <v>75000</v>
      </c>
      <c r="J45" s="8">
        <v>0</v>
      </c>
      <c r="K45" s="10" t="s">
        <v>57</v>
      </c>
      <c r="L45">
        <f t="shared" si="1"/>
        <v>2</v>
      </c>
      <c r="M45">
        <f t="shared" ca="1" si="4"/>
        <v>498</v>
      </c>
      <c r="N45" s="15">
        <f t="shared" si="2"/>
        <v>75000</v>
      </c>
      <c r="O45" t="str">
        <f t="shared" ca="1" si="3"/>
        <v>90+ Days</v>
      </c>
    </row>
    <row r="46" spans="1:15" x14ac:dyDescent="0.3">
      <c r="A46" s="2" t="s">
        <v>233</v>
      </c>
      <c r="B46" s="3" t="s">
        <v>234</v>
      </c>
      <c r="C46" s="2" t="s">
        <v>40</v>
      </c>
      <c r="D46" s="2" t="str">
        <f t="shared" si="0"/>
        <v>May</v>
      </c>
      <c r="E46" s="24" t="s">
        <v>235</v>
      </c>
      <c r="F46" s="20" t="s">
        <v>223</v>
      </c>
      <c r="G46" s="20" t="s">
        <v>177</v>
      </c>
      <c r="H46" s="20" t="s">
        <v>109</v>
      </c>
      <c r="I46" s="4">
        <v>30000</v>
      </c>
      <c r="J46" s="4">
        <v>30000</v>
      </c>
      <c r="K46" s="5" t="s">
        <v>17</v>
      </c>
      <c r="L46">
        <f t="shared" si="1"/>
        <v>1</v>
      </c>
      <c r="M46">
        <f t="shared" ca="1" si="4"/>
        <v>9</v>
      </c>
      <c r="N46" s="15">
        <f t="shared" si="2"/>
        <v>0</v>
      </c>
      <c r="O46" t="str">
        <f t="shared" ca="1" si="3"/>
        <v>0-30 Days</v>
      </c>
    </row>
    <row r="47" spans="1:15" x14ac:dyDescent="0.3">
      <c r="A47" s="6" t="s">
        <v>236</v>
      </c>
      <c r="B47" s="7" t="s">
        <v>124</v>
      </c>
      <c r="C47" s="6" t="s">
        <v>12</v>
      </c>
      <c r="D47" s="2" t="str">
        <f t="shared" si="0"/>
        <v>Apr</v>
      </c>
      <c r="E47" s="25" t="s">
        <v>237</v>
      </c>
      <c r="F47" s="21" t="s">
        <v>238</v>
      </c>
      <c r="G47" s="21" t="s">
        <v>239</v>
      </c>
      <c r="H47" s="21" t="s">
        <v>240</v>
      </c>
      <c r="I47" s="8">
        <v>22000</v>
      </c>
      <c r="J47" s="8">
        <v>22000</v>
      </c>
      <c r="K47" s="5" t="s">
        <v>17</v>
      </c>
      <c r="L47">
        <f t="shared" si="1"/>
        <v>2</v>
      </c>
      <c r="M47">
        <f t="shared" ca="1" si="4"/>
        <v>7</v>
      </c>
      <c r="N47" s="15">
        <f t="shared" si="2"/>
        <v>0</v>
      </c>
      <c r="O47" t="str">
        <f t="shared" ca="1" si="3"/>
        <v>0-30 Days</v>
      </c>
    </row>
    <row r="48" spans="1:15" x14ac:dyDescent="0.3">
      <c r="A48" s="2" t="s">
        <v>241</v>
      </c>
      <c r="B48" s="3" t="s">
        <v>242</v>
      </c>
      <c r="C48" s="2" t="s">
        <v>12</v>
      </c>
      <c r="D48" s="2" t="str">
        <f t="shared" si="0"/>
        <v>Oct</v>
      </c>
      <c r="E48" s="24" t="s">
        <v>243</v>
      </c>
      <c r="F48" s="20" t="s">
        <v>244</v>
      </c>
      <c r="G48" s="20" t="s">
        <v>245</v>
      </c>
      <c r="H48" s="20" t="s">
        <v>127</v>
      </c>
      <c r="I48" s="4">
        <v>8000</v>
      </c>
      <c r="J48" s="4">
        <v>8000</v>
      </c>
      <c r="K48" s="9" t="s">
        <v>45</v>
      </c>
      <c r="L48">
        <f t="shared" si="1"/>
        <v>1</v>
      </c>
      <c r="M48">
        <f t="shared" ca="1" si="4"/>
        <v>48</v>
      </c>
      <c r="N48" s="15">
        <f t="shared" si="2"/>
        <v>0</v>
      </c>
      <c r="O48" t="str">
        <f t="shared" ca="1" si="3"/>
        <v>31-60 Days</v>
      </c>
    </row>
    <row r="49" spans="1:15" x14ac:dyDescent="0.3">
      <c r="A49" s="6" t="s">
        <v>246</v>
      </c>
      <c r="B49" s="7" t="s">
        <v>144</v>
      </c>
      <c r="C49" s="6" t="s">
        <v>12</v>
      </c>
      <c r="D49" s="2" t="str">
        <f t="shared" si="0"/>
        <v>Feb</v>
      </c>
      <c r="E49" s="25" t="s">
        <v>247</v>
      </c>
      <c r="F49" s="21" t="s">
        <v>248</v>
      </c>
      <c r="G49" s="21" t="s">
        <v>249</v>
      </c>
      <c r="H49" s="21" t="s">
        <v>250</v>
      </c>
      <c r="I49" s="8">
        <v>25000</v>
      </c>
      <c r="J49" s="8">
        <v>25000</v>
      </c>
      <c r="K49" s="5" t="s">
        <v>17</v>
      </c>
      <c r="L49">
        <f t="shared" si="1"/>
        <v>1</v>
      </c>
      <c r="M49">
        <f t="shared" ca="1" si="4"/>
        <v>20</v>
      </c>
      <c r="N49" s="15">
        <f t="shared" si="2"/>
        <v>0</v>
      </c>
      <c r="O49" t="str">
        <f t="shared" ca="1" si="3"/>
        <v>0-30 Days</v>
      </c>
    </row>
    <row r="50" spans="1:15" x14ac:dyDescent="0.3">
      <c r="A50" s="2" t="s">
        <v>251</v>
      </c>
      <c r="B50" s="3" t="s">
        <v>252</v>
      </c>
      <c r="C50" s="2" t="s">
        <v>12</v>
      </c>
      <c r="D50" s="2" t="str">
        <f t="shared" si="0"/>
        <v>Jul</v>
      </c>
      <c r="E50" s="24" t="s">
        <v>196</v>
      </c>
      <c r="F50" s="20" t="s">
        <v>253</v>
      </c>
      <c r="G50" s="20" t="s">
        <v>96</v>
      </c>
      <c r="H50" s="20" t="s">
        <v>195</v>
      </c>
      <c r="I50" s="4">
        <v>25000</v>
      </c>
      <c r="J50" s="4">
        <v>25000</v>
      </c>
      <c r="K50" s="5" t="s">
        <v>17</v>
      </c>
      <c r="L50">
        <f t="shared" si="1"/>
        <v>1</v>
      </c>
      <c r="M50">
        <f t="shared" ca="1" si="4"/>
        <v>17</v>
      </c>
      <c r="N50" s="15">
        <f t="shared" si="2"/>
        <v>0</v>
      </c>
      <c r="O50" t="str">
        <f t="shared" ca="1" si="3"/>
        <v>0-30 Days</v>
      </c>
    </row>
    <row r="51" spans="1:15" x14ac:dyDescent="0.3">
      <c r="A51" s="6" t="s">
        <v>254</v>
      </c>
      <c r="B51" s="7" t="s">
        <v>255</v>
      </c>
      <c r="C51" s="6" t="s">
        <v>26</v>
      </c>
      <c r="D51" s="2" t="str">
        <f t="shared" si="0"/>
        <v>Aug</v>
      </c>
      <c r="E51" s="25" t="s">
        <v>156</v>
      </c>
      <c r="F51" s="21" t="s">
        <v>256</v>
      </c>
      <c r="G51" s="21" t="s">
        <v>213</v>
      </c>
      <c r="H51" s="21" t="s">
        <v>35</v>
      </c>
      <c r="I51" s="8">
        <v>18000</v>
      </c>
      <c r="J51" s="8">
        <v>18000</v>
      </c>
      <c r="K51" s="9" t="s">
        <v>45</v>
      </c>
      <c r="L51">
        <f t="shared" si="1"/>
        <v>2</v>
      </c>
      <c r="M51">
        <f t="shared" ca="1" si="4"/>
        <v>54</v>
      </c>
      <c r="N51" s="15">
        <f t="shared" si="2"/>
        <v>0</v>
      </c>
      <c r="O51" t="str">
        <f t="shared" ca="1" si="3"/>
        <v>31-60 Days</v>
      </c>
    </row>
    <row r="52" spans="1:15" x14ac:dyDescent="0.3">
      <c r="A52" s="2" t="s">
        <v>257</v>
      </c>
      <c r="B52" s="3" t="s">
        <v>258</v>
      </c>
      <c r="C52" s="2" t="s">
        <v>33</v>
      </c>
      <c r="D52" s="2" t="str">
        <f t="shared" si="0"/>
        <v>Oct</v>
      </c>
      <c r="E52" s="24" t="s">
        <v>259</v>
      </c>
      <c r="F52" s="20" t="s">
        <v>34</v>
      </c>
      <c r="G52" s="20" t="s">
        <v>260</v>
      </c>
      <c r="H52" s="20" t="s">
        <v>215</v>
      </c>
      <c r="I52" s="4">
        <v>35000</v>
      </c>
      <c r="J52" s="4">
        <v>35000</v>
      </c>
      <c r="K52" s="5" t="s">
        <v>17</v>
      </c>
      <c r="L52">
        <f t="shared" si="1"/>
        <v>3</v>
      </c>
      <c r="M52">
        <f t="shared" ca="1" si="4"/>
        <v>14</v>
      </c>
      <c r="N52" s="15">
        <f t="shared" si="2"/>
        <v>0</v>
      </c>
      <c r="O52" t="str">
        <f t="shared" ca="1" si="3"/>
        <v>0-30 Days</v>
      </c>
    </row>
    <row r="53" spans="1:15" x14ac:dyDescent="0.3">
      <c r="A53" s="6" t="s">
        <v>261</v>
      </c>
      <c r="B53" s="7" t="s">
        <v>252</v>
      </c>
      <c r="C53" s="6" t="s">
        <v>12</v>
      </c>
      <c r="D53" s="2" t="str">
        <f t="shared" si="0"/>
        <v>Jan</v>
      </c>
      <c r="E53" s="25" t="s">
        <v>105</v>
      </c>
      <c r="F53" s="21" t="s">
        <v>199</v>
      </c>
      <c r="G53" s="21" t="s">
        <v>262</v>
      </c>
      <c r="H53" s="21" t="s">
        <v>247</v>
      </c>
      <c r="I53" s="8">
        <v>55000</v>
      </c>
      <c r="J53" s="8">
        <v>55000</v>
      </c>
      <c r="K53" s="5" t="s">
        <v>17</v>
      </c>
      <c r="L53">
        <f t="shared" si="1"/>
        <v>3</v>
      </c>
      <c r="M53">
        <f t="shared" ca="1" si="4"/>
        <v>15</v>
      </c>
      <c r="N53" s="15">
        <f t="shared" si="2"/>
        <v>0</v>
      </c>
      <c r="O53" t="str">
        <f t="shared" ca="1" si="3"/>
        <v>0-30 Days</v>
      </c>
    </row>
    <row r="54" spans="1:15" x14ac:dyDescent="0.3">
      <c r="A54" s="2" t="s">
        <v>263</v>
      </c>
      <c r="B54" s="3" t="s">
        <v>207</v>
      </c>
      <c r="C54" s="2" t="s">
        <v>12</v>
      </c>
      <c r="D54" s="2" t="str">
        <f t="shared" si="0"/>
        <v>Jan</v>
      </c>
      <c r="E54" s="24" t="s">
        <v>264</v>
      </c>
      <c r="F54" s="20" t="s">
        <v>104</v>
      </c>
      <c r="G54" s="20" t="s">
        <v>14</v>
      </c>
      <c r="H54" s="20" t="s">
        <v>265</v>
      </c>
      <c r="I54" s="4">
        <v>35000</v>
      </c>
      <c r="J54" s="4">
        <v>35000</v>
      </c>
      <c r="K54" s="5" t="s">
        <v>17</v>
      </c>
      <c r="L54">
        <f t="shared" si="1"/>
        <v>3</v>
      </c>
      <c r="M54">
        <f t="shared" ca="1" si="4"/>
        <v>21</v>
      </c>
      <c r="N54" s="15">
        <f t="shared" si="2"/>
        <v>0</v>
      </c>
      <c r="O54" t="str">
        <f t="shared" ca="1" si="3"/>
        <v>0-30 Days</v>
      </c>
    </row>
    <row r="55" spans="1:15" x14ac:dyDescent="0.3">
      <c r="A55" s="6" t="s">
        <v>266</v>
      </c>
      <c r="B55" s="7" t="s">
        <v>84</v>
      </c>
      <c r="C55" s="6" t="s">
        <v>12</v>
      </c>
      <c r="D55" s="2" t="str">
        <f t="shared" si="0"/>
        <v>Jan</v>
      </c>
      <c r="E55" s="25" t="s">
        <v>105</v>
      </c>
      <c r="F55" s="21" t="s">
        <v>199</v>
      </c>
      <c r="G55" s="21" t="s">
        <v>262</v>
      </c>
      <c r="H55" s="21"/>
      <c r="I55" s="8">
        <v>10000</v>
      </c>
      <c r="J55" s="8">
        <v>0</v>
      </c>
      <c r="K55" s="10" t="s">
        <v>57</v>
      </c>
      <c r="L55">
        <f t="shared" si="1"/>
        <v>3</v>
      </c>
      <c r="M55">
        <f t="shared" ca="1" si="4"/>
        <v>499</v>
      </c>
      <c r="N55" s="15">
        <f t="shared" si="2"/>
        <v>10000</v>
      </c>
      <c r="O55" t="str">
        <f t="shared" ca="1" si="3"/>
        <v>90+ Days</v>
      </c>
    </row>
    <row r="56" spans="1:15" x14ac:dyDescent="0.3">
      <c r="A56" s="2" t="s">
        <v>267</v>
      </c>
      <c r="B56" s="3" t="s">
        <v>268</v>
      </c>
      <c r="C56" s="2" t="s">
        <v>33</v>
      </c>
      <c r="D56" s="2" t="str">
        <f t="shared" si="0"/>
        <v>Nov</v>
      </c>
      <c r="E56" s="24" t="s">
        <v>269</v>
      </c>
      <c r="F56" s="20" t="s">
        <v>140</v>
      </c>
      <c r="G56" s="20" t="s">
        <v>270</v>
      </c>
      <c r="H56" s="20" t="s">
        <v>271</v>
      </c>
      <c r="I56" s="4">
        <v>40000</v>
      </c>
      <c r="J56" s="4">
        <v>40000</v>
      </c>
      <c r="K56" s="5" t="s">
        <v>17</v>
      </c>
      <c r="L56">
        <f t="shared" si="1"/>
        <v>1</v>
      </c>
      <c r="M56">
        <f t="shared" ca="1" si="4"/>
        <v>23</v>
      </c>
      <c r="N56" s="15">
        <f t="shared" si="2"/>
        <v>0</v>
      </c>
      <c r="O56" t="str">
        <f t="shared" ca="1" si="3"/>
        <v>0-30 Days</v>
      </c>
    </row>
    <row r="57" spans="1:15" x14ac:dyDescent="0.3">
      <c r="A57" s="6" t="s">
        <v>272</v>
      </c>
      <c r="B57" s="7" t="s">
        <v>120</v>
      </c>
      <c r="C57" s="6" t="s">
        <v>40</v>
      </c>
      <c r="D57" s="2" t="str">
        <f t="shared" si="0"/>
        <v>Oct</v>
      </c>
      <c r="E57" s="25" t="s">
        <v>273</v>
      </c>
      <c r="F57" s="21" t="s">
        <v>274</v>
      </c>
      <c r="G57" s="21" t="s">
        <v>142</v>
      </c>
      <c r="H57" s="21" t="s">
        <v>275</v>
      </c>
      <c r="I57" s="8">
        <v>8000</v>
      </c>
      <c r="J57" s="8">
        <v>8000</v>
      </c>
      <c r="K57" s="9" t="s">
        <v>45</v>
      </c>
      <c r="L57">
        <f t="shared" si="1"/>
        <v>3</v>
      </c>
      <c r="M57">
        <f t="shared" ca="1" si="4"/>
        <v>44</v>
      </c>
      <c r="N57" s="15">
        <f t="shared" si="2"/>
        <v>0</v>
      </c>
      <c r="O57" t="str">
        <f t="shared" ca="1" si="3"/>
        <v>31-60 Days</v>
      </c>
    </row>
    <row r="58" spans="1:15" x14ac:dyDescent="0.3">
      <c r="A58" s="2" t="s">
        <v>276</v>
      </c>
      <c r="B58" s="3" t="s">
        <v>277</v>
      </c>
      <c r="C58" s="2" t="s">
        <v>12</v>
      </c>
      <c r="D58" s="2" t="str">
        <f t="shared" si="0"/>
        <v>Oct</v>
      </c>
      <c r="E58" s="24" t="s">
        <v>125</v>
      </c>
      <c r="F58" s="20" t="s">
        <v>215</v>
      </c>
      <c r="G58" s="20" t="s">
        <v>91</v>
      </c>
      <c r="H58" s="20" t="s">
        <v>278</v>
      </c>
      <c r="I58" s="4">
        <v>45000</v>
      </c>
      <c r="J58" s="4">
        <v>45000</v>
      </c>
      <c r="K58" s="5" t="s">
        <v>17</v>
      </c>
      <c r="L58">
        <f t="shared" si="1"/>
        <v>3</v>
      </c>
      <c r="M58">
        <f t="shared" ca="1" si="4"/>
        <v>13</v>
      </c>
      <c r="N58" s="15">
        <f t="shared" si="2"/>
        <v>0</v>
      </c>
      <c r="O58" t="str">
        <f t="shared" ca="1" si="3"/>
        <v>0-30 Days</v>
      </c>
    </row>
    <row r="59" spans="1:15" x14ac:dyDescent="0.3">
      <c r="A59" s="6" t="s">
        <v>279</v>
      </c>
      <c r="B59" s="7" t="s">
        <v>280</v>
      </c>
      <c r="C59" s="6" t="s">
        <v>33</v>
      </c>
      <c r="D59" s="2" t="str">
        <f t="shared" si="0"/>
        <v>Dec</v>
      </c>
      <c r="E59" s="25" t="s">
        <v>281</v>
      </c>
      <c r="F59" s="21" t="s">
        <v>282</v>
      </c>
      <c r="G59" s="21" t="s">
        <v>283</v>
      </c>
      <c r="H59" s="21" t="s">
        <v>93</v>
      </c>
      <c r="I59" s="8">
        <v>75000</v>
      </c>
      <c r="J59" s="8">
        <v>75000</v>
      </c>
      <c r="K59" s="5" t="s">
        <v>17</v>
      </c>
      <c r="L59">
        <f t="shared" si="1"/>
        <v>3</v>
      </c>
      <c r="M59">
        <f t="shared" ca="1" si="4"/>
        <v>17</v>
      </c>
      <c r="N59" s="15">
        <f t="shared" si="2"/>
        <v>0</v>
      </c>
      <c r="O59" t="str">
        <f t="shared" ca="1" si="3"/>
        <v>0-30 Days</v>
      </c>
    </row>
    <row r="60" spans="1:15" x14ac:dyDescent="0.3">
      <c r="A60" s="2" t="s">
        <v>284</v>
      </c>
      <c r="B60" s="3" t="s">
        <v>285</v>
      </c>
      <c r="C60" s="2" t="s">
        <v>12</v>
      </c>
      <c r="D60" s="2" t="str">
        <f t="shared" si="0"/>
        <v>Dec</v>
      </c>
      <c r="E60" s="24" t="s">
        <v>275</v>
      </c>
      <c r="F60" s="20" t="s">
        <v>286</v>
      </c>
      <c r="G60" s="20" t="s">
        <v>287</v>
      </c>
      <c r="H60" s="20" t="s">
        <v>189</v>
      </c>
      <c r="I60" s="4">
        <v>60000</v>
      </c>
      <c r="J60" s="4">
        <v>60000</v>
      </c>
      <c r="K60" s="5" t="s">
        <v>17</v>
      </c>
      <c r="L60">
        <f t="shared" si="1"/>
        <v>3</v>
      </c>
      <c r="M60">
        <f t="shared" ca="1" si="4"/>
        <v>7</v>
      </c>
      <c r="N60" s="15">
        <f t="shared" si="2"/>
        <v>0</v>
      </c>
      <c r="O60" t="str">
        <f t="shared" ca="1" si="3"/>
        <v>0-30 Days</v>
      </c>
    </row>
    <row r="61" spans="1:15" x14ac:dyDescent="0.3">
      <c r="A61" s="6" t="s">
        <v>288</v>
      </c>
      <c r="B61" s="7" t="s">
        <v>144</v>
      </c>
      <c r="C61" s="6" t="s">
        <v>12</v>
      </c>
      <c r="D61" s="2" t="str">
        <f t="shared" si="0"/>
        <v>Aug</v>
      </c>
      <c r="E61" s="25" t="s">
        <v>256</v>
      </c>
      <c r="F61" s="21" t="s">
        <v>289</v>
      </c>
      <c r="G61" s="21" t="s">
        <v>290</v>
      </c>
      <c r="H61" s="21" t="s">
        <v>291</v>
      </c>
      <c r="I61" s="8">
        <v>15000</v>
      </c>
      <c r="J61" s="8">
        <v>15000</v>
      </c>
      <c r="K61" s="5" t="s">
        <v>17</v>
      </c>
      <c r="L61">
        <f t="shared" si="1"/>
        <v>3</v>
      </c>
      <c r="M61">
        <f t="shared" ca="1" si="4"/>
        <v>11</v>
      </c>
      <c r="N61" s="15">
        <f t="shared" si="2"/>
        <v>0</v>
      </c>
      <c r="O61" t="str">
        <f t="shared" ca="1" si="3"/>
        <v>0-30 Days</v>
      </c>
    </row>
    <row r="62" spans="1:15" x14ac:dyDescent="0.3">
      <c r="A62" s="2" t="s">
        <v>292</v>
      </c>
      <c r="B62" s="3" t="s">
        <v>293</v>
      </c>
      <c r="C62" s="2" t="s">
        <v>12</v>
      </c>
      <c r="D62" s="2" t="str">
        <f t="shared" si="0"/>
        <v>May</v>
      </c>
      <c r="E62" s="24" t="s">
        <v>187</v>
      </c>
      <c r="F62" s="20" t="s">
        <v>151</v>
      </c>
      <c r="G62" s="20" t="s">
        <v>294</v>
      </c>
      <c r="H62" s="20" t="s">
        <v>295</v>
      </c>
      <c r="I62" s="4">
        <v>100000</v>
      </c>
      <c r="J62" s="4">
        <v>50000</v>
      </c>
      <c r="K62" s="13" t="s">
        <v>113</v>
      </c>
      <c r="L62">
        <f t="shared" si="1"/>
        <v>1</v>
      </c>
      <c r="M62">
        <f t="shared" ca="1" si="4"/>
        <v>20</v>
      </c>
      <c r="N62" s="15">
        <f t="shared" si="2"/>
        <v>50000</v>
      </c>
      <c r="O62" t="str">
        <f t="shared" ca="1" si="3"/>
        <v>0-30 Days</v>
      </c>
    </row>
    <row r="63" spans="1:15" x14ac:dyDescent="0.3">
      <c r="A63" s="6" t="s">
        <v>296</v>
      </c>
      <c r="B63" s="7" t="s">
        <v>297</v>
      </c>
      <c r="C63" s="6" t="s">
        <v>26</v>
      </c>
      <c r="D63" s="2" t="str">
        <f t="shared" si="0"/>
        <v>Mar</v>
      </c>
      <c r="E63" s="25" t="s">
        <v>49</v>
      </c>
      <c r="F63" s="21" t="s">
        <v>298</v>
      </c>
      <c r="G63" s="21" t="s">
        <v>204</v>
      </c>
      <c r="H63" s="21"/>
      <c r="I63" s="8">
        <v>55000</v>
      </c>
      <c r="J63" s="8">
        <v>0</v>
      </c>
      <c r="K63" s="12" t="s">
        <v>71</v>
      </c>
      <c r="L63">
        <f t="shared" si="1"/>
        <v>2</v>
      </c>
      <c r="M63">
        <f t="shared" ca="1" si="4"/>
        <v>449</v>
      </c>
      <c r="N63" s="15">
        <f t="shared" si="2"/>
        <v>55000</v>
      </c>
      <c r="O63" t="str">
        <f t="shared" ca="1" si="3"/>
        <v>90+ Days</v>
      </c>
    </row>
    <row r="64" spans="1:15" x14ac:dyDescent="0.3">
      <c r="A64" s="2" t="s">
        <v>299</v>
      </c>
      <c r="B64" s="3" t="s">
        <v>300</v>
      </c>
      <c r="C64" s="2" t="s">
        <v>12</v>
      </c>
      <c r="D64" s="2" t="str">
        <f t="shared" si="0"/>
        <v>Dec</v>
      </c>
      <c r="E64" s="24" t="s">
        <v>301</v>
      </c>
      <c r="F64" s="20" t="s">
        <v>141</v>
      </c>
      <c r="G64" s="20" t="s">
        <v>302</v>
      </c>
      <c r="H64" s="20" t="s">
        <v>100</v>
      </c>
      <c r="I64" s="4">
        <v>5000</v>
      </c>
      <c r="J64" s="4">
        <v>5000</v>
      </c>
      <c r="K64" s="9" t="s">
        <v>45</v>
      </c>
      <c r="L64">
        <f t="shared" si="1"/>
        <v>3</v>
      </c>
      <c r="M64">
        <f t="shared" ca="1" si="4"/>
        <v>48</v>
      </c>
      <c r="N64" s="15">
        <f t="shared" si="2"/>
        <v>0</v>
      </c>
      <c r="O64" t="str">
        <f t="shared" ca="1" si="3"/>
        <v>31-60 Days</v>
      </c>
    </row>
    <row r="65" spans="1:15" x14ac:dyDescent="0.3">
      <c r="A65" s="6" t="s">
        <v>303</v>
      </c>
      <c r="B65" s="7" t="s">
        <v>165</v>
      </c>
      <c r="C65" s="6" t="s">
        <v>26</v>
      </c>
      <c r="D65" s="2" t="str">
        <f t="shared" si="0"/>
        <v>Dec</v>
      </c>
      <c r="E65" s="25" t="s">
        <v>75</v>
      </c>
      <c r="F65" s="21" t="s">
        <v>168</v>
      </c>
      <c r="G65" s="21" t="s">
        <v>304</v>
      </c>
      <c r="H65" s="21" t="s">
        <v>145</v>
      </c>
      <c r="I65" s="8">
        <v>20000</v>
      </c>
      <c r="J65" s="8">
        <v>20000</v>
      </c>
      <c r="K65" s="5" t="s">
        <v>17</v>
      </c>
      <c r="L65">
        <f t="shared" si="1"/>
        <v>1</v>
      </c>
      <c r="M65">
        <f t="shared" ca="1" si="4"/>
        <v>8</v>
      </c>
      <c r="N65" s="15">
        <f t="shared" si="2"/>
        <v>0</v>
      </c>
      <c r="O65" t="str">
        <f t="shared" ca="1" si="3"/>
        <v>0-30 Days</v>
      </c>
    </row>
    <row r="66" spans="1:15" x14ac:dyDescent="0.3">
      <c r="A66" s="2" t="s">
        <v>305</v>
      </c>
      <c r="B66" s="3" t="s">
        <v>306</v>
      </c>
      <c r="C66" s="2" t="s">
        <v>12</v>
      </c>
      <c r="D66" s="2" t="str">
        <f t="shared" si="0"/>
        <v>Oct</v>
      </c>
      <c r="E66" s="24" t="s">
        <v>133</v>
      </c>
      <c r="F66" s="20" t="s">
        <v>259</v>
      </c>
      <c r="G66" s="20" t="s">
        <v>278</v>
      </c>
      <c r="H66" s="20" t="s">
        <v>307</v>
      </c>
      <c r="I66" s="4">
        <v>50000</v>
      </c>
      <c r="J66" s="4">
        <v>50000</v>
      </c>
      <c r="K66" s="5" t="s">
        <v>17</v>
      </c>
      <c r="L66">
        <f t="shared" si="1"/>
        <v>1</v>
      </c>
      <c r="M66">
        <f t="shared" ca="1" si="4"/>
        <v>11</v>
      </c>
      <c r="N66" s="15">
        <f t="shared" si="2"/>
        <v>0</v>
      </c>
      <c r="O66" t="str">
        <f t="shared" ca="1" si="3"/>
        <v>0-30 Days</v>
      </c>
    </row>
    <row r="67" spans="1:15" x14ac:dyDescent="0.3">
      <c r="A67" s="6" t="s">
        <v>308</v>
      </c>
      <c r="B67" s="7" t="s">
        <v>309</v>
      </c>
      <c r="C67" s="6" t="s">
        <v>12</v>
      </c>
      <c r="D67" s="2" t="str">
        <f t="shared" ref="D67:D130" si="5">MID(E67, 4, 3)</f>
        <v>Jun</v>
      </c>
      <c r="E67" s="25" t="s">
        <v>310</v>
      </c>
      <c r="F67" s="21" t="s">
        <v>311</v>
      </c>
      <c r="G67" s="21" t="s">
        <v>253</v>
      </c>
      <c r="H67" s="21" t="s">
        <v>85</v>
      </c>
      <c r="I67" s="8">
        <v>50000</v>
      </c>
      <c r="J67" s="8">
        <v>50000</v>
      </c>
      <c r="K67" s="5" t="s">
        <v>17</v>
      </c>
      <c r="L67">
        <f t="shared" ref="L67:L130" si="6">F67-E67</f>
        <v>1</v>
      </c>
      <c r="M67">
        <f t="shared" ca="1" si="4"/>
        <v>13</v>
      </c>
      <c r="N67" s="15">
        <f t="shared" ref="N67:N130" si="7">I67-J67</f>
        <v>0</v>
      </c>
      <c r="O67" t="str">
        <f t="shared" ref="O67:O130" ca="1" si="8">IF(M67&lt;=30,"0-30 Days",
IF(M67&lt;=60,"31-60 Days",
IF(M67&lt;=90,"61-90 Days","90+ Days")))</f>
        <v>0-30 Days</v>
      </c>
    </row>
    <row r="68" spans="1:15" x14ac:dyDescent="0.3">
      <c r="A68" s="2" t="s">
        <v>312</v>
      </c>
      <c r="B68" s="3" t="s">
        <v>313</v>
      </c>
      <c r="C68" s="2" t="s">
        <v>33</v>
      </c>
      <c r="D68" s="2" t="str">
        <f t="shared" si="5"/>
        <v>Feb</v>
      </c>
      <c r="E68" s="24" t="s">
        <v>247</v>
      </c>
      <c r="F68" s="20" t="s">
        <v>314</v>
      </c>
      <c r="G68" s="20" t="s">
        <v>49</v>
      </c>
      <c r="H68" s="20"/>
      <c r="I68" s="4">
        <v>18000</v>
      </c>
      <c r="J68" s="4">
        <v>0</v>
      </c>
      <c r="K68" s="10" t="s">
        <v>57</v>
      </c>
      <c r="L68">
        <f t="shared" si="6"/>
        <v>3</v>
      </c>
      <c r="M68">
        <f t="shared" ref="M68:M131" ca="1" si="9">IF(H68="",TODAY()-F68,H68-F68)</f>
        <v>481</v>
      </c>
      <c r="N68" s="15">
        <f t="shared" si="7"/>
        <v>18000</v>
      </c>
      <c r="O68" t="str">
        <f t="shared" ca="1" si="8"/>
        <v>90+ Days</v>
      </c>
    </row>
    <row r="69" spans="1:15" x14ac:dyDescent="0.3">
      <c r="A69" s="6" t="s">
        <v>315</v>
      </c>
      <c r="B69" s="7" t="s">
        <v>73</v>
      </c>
      <c r="C69" s="6" t="s">
        <v>26</v>
      </c>
      <c r="D69" s="2" t="str">
        <f t="shared" si="5"/>
        <v>Jan</v>
      </c>
      <c r="E69" s="25" t="s">
        <v>316</v>
      </c>
      <c r="F69" s="21" t="s">
        <v>317</v>
      </c>
      <c r="G69" s="21" t="s">
        <v>231</v>
      </c>
      <c r="H69" s="21" t="s">
        <v>318</v>
      </c>
      <c r="I69" s="8">
        <v>20000</v>
      </c>
      <c r="J69" s="8">
        <v>20000</v>
      </c>
      <c r="K69" s="9" t="s">
        <v>45</v>
      </c>
      <c r="L69">
        <f t="shared" si="6"/>
        <v>2</v>
      </c>
      <c r="M69">
        <f t="shared" ca="1" si="9"/>
        <v>39</v>
      </c>
      <c r="N69" s="15">
        <f t="shared" si="7"/>
        <v>0</v>
      </c>
      <c r="O69" t="str">
        <f t="shared" ca="1" si="8"/>
        <v>31-60 Days</v>
      </c>
    </row>
    <row r="70" spans="1:15" x14ac:dyDescent="0.3">
      <c r="A70" s="2" t="s">
        <v>319</v>
      </c>
      <c r="B70" s="3" t="s">
        <v>84</v>
      </c>
      <c r="C70" s="2" t="s">
        <v>12</v>
      </c>
      <c r="D70" s="2" t="str">
        <f t="shared" si="5"/>
        <v>Aug</v>
      </c>
      <c r="E70" s="24" t="s">
        <v>320</v>
      </c>
      <c r="F70" s="20" t="s">
        <v>321</v>
      </c>
      <c r="G70" s="20" t="s">
        <v>322</v>
      </c>
      <c r="H70" s="20" t="s">
        <v>158</v>
      </c>
      <c r="I70" s="4">
        <v>18000</v>
      </c>
      <c r="J70" s="4">
        <v>18000</v>
      </c>
      <c r="K70" s="9" t="s">
        <v>45</v>
      </c>
      <c r="L70">
        <f t="shared" si="6"/>
        <v>3</v>
      </c>
      <c r="M70">
        <f t="shared" ca="1" si="9"/>
        <v>34</v>
      </c>
      <c r="N70" s="15">
        <f t="shared" si="7"/>
        <v>0</v>
      </c>
      <c r="O70" t="str">
        <f t="shared" ca="1" si="8"/>
        <v>31-60 Days</v>
      </c>
    </row>
    <row r="71" spans="1:15" x14ac:dyDescent="0.3">
      <c r="A71" s="6" t="s">
        <v>323</v>
      </c>
      <c r="B71" s="7" t="s">
        <v>212</v>
      </c>
      <c r="C71" s="6" t="s">
        <v>12</v>
      </c>
      <c r="D71" s="2" t="str">
        <f t="shared" si="5"/>
        <v>Dec</v>
      </c>
      <c r="E71" s="25" t="s">
        <v>189</v>
      </c>
      <c r="F71" s="21" t="s">
        <v>190</v>
      </c>
      <c r="G71" s="21" t="s">
        <v>191</v>
      </c>
      <c r="H71" s="21" t="s">
        <v>304</v>
      </c>
      <c r="I71" s="8">
        <v>55000</v>
      </c>
      <c r="J71" s="8">
        <v>55000</v>
      </c>
      <c r="K71" s="5" t="s">
        <v>17</v>
      </c>
      <c r="L71">
        <f t="shared" si="6"/>
        <v>1</v>
      </c>
      <c r="M71">
        <f t="shared" ca="1" si="9"/>
        <v>16</v>
      </c>
      <c r="N71" s="15">
        <f t="shared" si="7"/>
        <v>0</v>
      </c>
      <c r="O71" t="str">
        <f t="shared" ca="1" si="8"/>
        <v>0-30 Days</v>
      </c>
    </row>
    <row r="72" spans="1:15" x14ac:dyDescent="0.3">
      <c r="A72" s="2" t="s">
        <v>324</v>
      </c>
      <c r="B72" s="3" t="s">
        <v>325</v>
      </c>
      <c r="C72" s="2" t="s">
        <v>12</v>
      </c>
      <c r="D72" s="2" t="str">
        <f t="shared" si="5"/>
        <v>Oct</v>
      </c>
      <c r="E72" s="24" t="s">
        <v>244</v>
      </c>
      <c r="F72" s="20" t="s">
        <v>133</v>
      </c>
      <c r="G72" s="20" t="s">
        <v>326</v>
      </c>
      <c r="H72" s="20" t="s">
        <v>327</v>
      </c>
      <c r="I72" s="4">
        <v>18000</v>
      </c>
      <c r="J72" s="4">
        <v>18000</v>
      </c>
      <c r="K72" s="5" t="s">
        <v>17</v>
      </c>
      <c r="L72">
        <f t="shared" si="6"/>
        <v>1</v>
      </c>
      <c r="M72">
        <f t="shared" ca="1" si="9"/>
        <v>14</v>
      </c>
      <c r="N72" s="15">
        <f t="shared" si="7"/>
        <v>0</v>
      </c>
      <c r="O72" t="str">
        <f t="shared" ca="1" si="8"/>
        <v>0-30 Days</v>
      </c>
    </row>
    <row r="73" spans="1:15" x14ac:dyDescent="0.3">
      <c r="A73" s="6" t="s">
        <v>328</v>
      </c>
      <c r="B73" s="7" t="s">
        <v>176</v>
      </c>
      <c r="C73" s="6" t="s">
        <v>12</v>
      </c>
      <c r="D73" s="2" t="str">
        <f t="shared" si="5"/>
        <v>Jan</v>
      </c>
      <c r="E73" s="25" t="s">
        <v>329</v>
      </c>
      <c r="F73" s="21" t="s">
        <v>330</v>
      </c>
      <c r="G73" s="21" t="s">
        <v>20</v>
      </c>
      <c r="H73" s="21" t="s">
        <v>331</v>
      </c>
      <c r="I73" s="8">
        <v>30000</v>
      </c>
      <c r="J73" s="8">
        <v>30000</v>
      </c>
      <c r="K73" s="9" t="s">
        <v>45</v>
      </c>
      <c r="L73">
        <f t="shared" si="6"/>
        <v>2</v>
      </c>
      <c r="M73">
        <f t="shared" ca="1" si="9"/>
        <v>52</v>
      </c>
      <c r="N73" s="15">
        <f t="shared" si="7"/>
        <v>0</v>
      </c>
      <c r="O73" t="str">
        <f t="shared" ca="1" si="8"/>
        <v>31-60 Days</v>
      </c>
    </row>
    <row r="74" spans="1:15" x14ac:dyDescent="0.3">
      <c r="A74" s="2" t="s">
        <v>332</v>
      </c>
      <c r="B74" s="3" t="s">
        <v>234</v>
      </c>
      <c r="C74" s="2" t="s">
        <v>40</v>
      </c>
      <c r="D74" s="2" t="str">
        <f t="shared" si="5"/>
        <v>Jul</v>
      </c>
      <c r="E74" s="24" t="s">
        <v>178</v>
      </c>
      <c r="F74" s="20" t="s">
        <v>44</v>
      </c>
      <c r="G74" s="20" t="s">
        <v>333</v>
      </c>
      <c r="H74" s="20"/>
      <c r="I74" s="4">
        <v>18000</v>
      </c>
      <c r="J74" s="4">
        <v>0</v>
      </c>
      <c r="K74" s="11" t="s">
        <v>63</v>
      </c>
      <c r="L74">
        <f t="shared" si="6"/>
        <v>3</v>
      </c>
      <c r="M74">
        <f t="shared" ca="1" si="9"/>
        <v>347</v>
      </c>
      <c r="N74" s="15">
        <f t="shared" si="7"/>
        <v>18000</v>
      </c>
      <c r="O74" t="str">
        <f t="shared" ca="1" si="8"/>
        <v>90+ Days</v>
      </c>
    </row>
    <row r="75" spans="1:15" x14ac:dyDescent="0.3">
      <c r="A75" s="6" t="s">
        <v>334</v>
      </c>
      <c r="B75" s="7" t="s">
        <v>306</v>
      </c>
      <c r="C75" s="6" t="s">
        <v>12</v>
      </c>
      <c r="D75" s="2" t="str">
        <f t="shared" si="5"/>
        <v>Mar</v>
      </c>
      <c r="E75" s="25" t="s">
        <v>48</v>
      </c>
      <c r="F75" s="21" t="s">
        <v>49</v>
      </c>
      <c r="G75" s="21" t="s">
        <v>50</v>
      </c>
      <c r="H75" s="21"/>
      <c r="I75" s="8">
        <v>25000</v>
      </c>
      <c r="J75" s="8">
        <v>0</v>
      </c>
      <c r="K75" s="11" t="s">
        <v>63</v>
      </c>
      <c r="L75">
        <f t="shared" si="6"/>
        <v>1</v>
      </c>
      <c r="M75">
        <f t="shared" ca="1" si="9"/>
        <v>451</v>
      </c>
      <c r="N75" s="15">
        <f t="shared" si="7"/>
        <v>25000</v>
      </c>
      <c r="O75" t="str">
        <f t="shared" ca="1" si="8"/>
        <v>90+ Days</v>
      </c>
    </row>
    <row r="76" spans="1:15" x14ac:dyDescent="0.3">
      <c r="A76" s="2" t="s">
        <v>335</v>
      </c>
      <c r="B76" s="3" t="s">
        <v>336</v>
      </c>
      <c r="C76" s="2" t="s">
        <v>26</v>
      </c>
      <c r="D76" s="2" t="str">
        <f t="shared" si="5"/>
        <v>Jul</v>
      </c>
      <c r="E76" s="24" t="s">
        <v>337</v>
      </c>
      <c r="F76" s="20" t="s">
        <v>227</v>
      </c>
      <c r="G76" s="20" t="s">
        <v>228</v>
      </c>
      <c r="H76" s="20"/>
      <c r="I76" s="4">
        <v>25000</v>
      </c>
      <c r="J76" s="4">
        <v>0</v>
      </c>
      <c r="K76" s="12" t="s">
        <v>71</v>
      </c>
      <c r="L76">
        <f t="shared" si="6"/>
        <v>1</v>
      </c>
      <c r="M76">
        <f t="shared" ca="1" si="9"/>
        <v>319</v>
      </c>
      <c r="N76" s="15">
        <f t="shared" si="7"/>
        <v>25000</v>
      </c>
      <c r="O76" t="str">
        <f t="shared" ca="1" si="8"/>
        <v>90+ Days</v>
      </c>
    </row>
    <row r="77" spans="1:15" x14ac:dyDescent="0.3">
      <c r="A77" s="6" t="s">
        <v>338</v>
      </c>
      <c r="B77" s="7" t="s">
        <v>339</v>
      </c>
      <c r="C77" s="6" t="s">
        <v>12</v>
      </c>
      <c r="D77" s="2" t="str">
        <f t="shared" si="5"/>
        <v>Jul</v>
      </c>
      <c r="E77" s="25" t="s">
        <v>226</v>
      </c>
      <c r="F77" s="21" t="s">
        <v>340</v>
      </c>
      <c r="G77" s="21" t="s">
        <v>341</v>
      </c>
      <c r="H77" s="21" t="s">
        <v>342</v>
      </c>
      <c r="I77" s="8">
        <v>40000</v>
      </c>
      <c r="J77" s="8">
        <v>40000</v>
      </c>
      <c r="K77" s="5" t="s">
        <v>17</v>
      </c>
      <c r="L77">
        <f t="shared" si="6"/>
        <v>3</v>
      </c>
      <c r="M77">
        <f t="shared" ca="1" si="9"/>
        <v>27</v>
      </c>
      <c r="N77" s="15">
        <f t="shared" si="7"/>
        <v>0</v>
      </c>
      <c r="O77" t="str">
        <f t="shared" ca="1" si="8"/>
        <v>0-30 Days</v>
      </c>
    </row>
    <row r="78" spans="1:15" x14ac:dyDescent="0.3">
      <c r="A78" s="2" t="s">
        <v>343</v>
      </c>
      <c r="B78" s="3" t="s">
        <v>234</v>
      </c>
      <c r="C78" s="2" t="s">
        <v>40</v>
      </c>
      <c r="D78" s="2" t="str">
        <f t="shared" si="5"/>
        <v>Jul</v>
      </c>
      <c r="E78" s="24" t="s">
        <v>344</v>
      </c>
      <c r="F78" s="20" t="s">
        <v>345</v>
      </c>
      <c r="G78" s="20" t="s">
        <v>320</v>
      </c>
      <c r="H78" s="20" t="s">
        <v>56</v>
      </c>
      <c r="I78" s="4">
        <v>35000</v>
      </c>
      <c r="J78" s="4">
        <v>35000</v>
      </c>
      <c r="K78" s="5" t="s">
        <v>17</v>
      </c>
      <c r="L78">
        <f t="shared" si="6"/>
        <v>1</v>
      </c>
      <c r="M78">
        <f t="shared" ca="1" si="9"/>
        <v>19</v>
      </c>
      <c r="N78" s="15">
        <f t="shared" si="7"/>
        <v>0</v>
      </c>
      <c r="O78" t="str">
        <f t="shared" ca="1" si="8"/>
        <v>0-30 Days</v>
      </c>
    </row>
    <row r="79" spans="1:15" x14ac:dyDescent="0.3">
      <c r="A79" s="6" t="s">
        <v>346</v>
      </c>
      <c r="B79" s="7" t="s">
        <v>347</v>
      </c>
      <c r="C79" s="6" t="s">
        <v>12</v>
      </c>
      <c r="D79" s="2" t="str">
        <f t="shared" si="5"/>
        <v>Jun</v>
      </c>
      <c r="E79" s="25" t="s">
        <v>295</v>
      </c>
      <c r="F79" s="21" t="s">
        <v>154</v>
      </c>
      <c r="G79" s="21" t="s">
        <v>348</v>
      </c>
      <c r="H79" s="21" t="s">
        <v>111</v>
      </c>
      <c r="I79" s="8">
        <v>40000</v>
      </c>
      <c r="J79" s="8">
        <v>40000</v>
      </c>
      <c r="K79" s="5" t="s">
        <v>17</v>
      </c>
      <c r="L79">
        <f t="shared" si="6"/>
        <v>1</v>
      </c>
      <c r="M79">
        <f t="shared" ca="1" si="9"/>
        <v>11</v>
      </c>
      <c r="N79" s="15">
        <f t="shared" si="7"/>
        <v>0</v>
      </c>
      <c r="O79" t="str">
        <f t="shared" ca="1" si="8"/>
        <v>0-30 Days</v>
      </c>
    </row>
    <row r="80" spans="1:15" x14ac:dyDescent="0.3">
      <c r="A80" s="2" t="s">
        <v>349</v>
      </c>
      <c r="B80" s="3" t="s">
        <v>108</v>
      </c>
      <c r="C80" s="2" t="s">
        <v>12</v>
      </c>
      <c r="D80" s="2" t="str">
        <f t="shared" si="5"/>
        <v>Jun</v>
      </c>
      <c r="E80" s="24" t="s">
        <v>111</v>
      </c>
      <c r="F80" s="20" t="s">
        <v>350</v>
      </c>
      <c r="G80" s="20" t="s">
        <v>351</v>
      </c>
      <c r="H80" s="20"/>
      <c r="I80" s="4">
        <v>10000</v>
      </c>
      <c r="J80" s="4">
        <v>0</v>
      </c>
      <c r="K80" s="11" t="s">
        <v>63</v>
      </c>
      <c r="L80">
        <f t="shared" si="6"/>
        <v>2</v>
      </c>
      <c r="M80">
        <f t="shared" ca="1" si="9"/>
        <v>361</v>
      </c>
      <c r="N80" s="15">
        <f t="shared" si="7"/>
        <v>10000</v>
      </c>
      <c r="O80" t="str">
        <f t="shared" ca="1" si="8"/>
        <v>90+ Days</v>
      </c>
    </row>
    <row r="81" spans="1:15" x14ac:dyDescent="0.3">
      <c r="A81" s="6" t="s">
        <v>352</v>
      </c>
      <c r="B81" s="7" t="s">
        <v>47</v>
      </c>
      <c r="C81" s="6" t="s">
        <v>40</v>
      </c>
      <c r="D81" s="2" t="str">
        <f t="shared" si="5"/>
        <v>Jun</v>
      </c>
      <c r="E81" s="25" t="s">
        <v>353</v>
      </c>
      <c r="F81" s="21" t="s">
        <v>354</v>
      </c>
      <c r="G81" s="21" t="s">
        <v>227</v>
      </c>
      <c r="H81" s="21" t="s">
        <v>355</v>
      </c>
      <c r="I81" s="8">
        <v>45000</v>
      </c>
      <c r="J81" s="8">
        <v>45000</v>
      </c>
      <c r="K81" s="5" t="s">
        <v>17</v>
      </c>
      <c r="L81">
        <f t="shared" si="6"/>
        <v>3</v>
      </c>
      <c r="M81">
        <f t="shared" ca="1" si="9"/>
        <v>22</v>
      </c>
      <c r="N81" s="15">
        <f t="shared" si="7"/>
        <v>0</v>
      </c>
      <c r="O81" t="str">
        <f t="shared" ca="1" si="8"/>
        <v>0-30 Days</v>
      </c>
    </row>
    <row r="82" spans="1:15" x14ac:dyDescent="0.3">
      <c r="A82" s="2" t="s">
        <v>356</v>
      </c>
      <c r="B82" s="3" t="s">
        <v>339</v>
      </c>
      <c r="C82" s="2" t="s">
        <v>12</v>
      </c>
      <c r="D82" s="2" t="str">
        <f t="shared" si="5"/>
        <v>Jan</v>
      </c>
      <c r="E82" s="24" t="s">
        <v>357</v>
      </c>
      <c r="F82" s="20" t="s">
        <v>27</v>
      </c>
      <c r="G82" s="20" t="s">
        <v>358</v>
      </c>
      <c r="H82" s="20" t="s">
        <v>104</v>
      </c>
      <c r="I82" s="4">
        <v>50000</v>
      </c>
      <c r="J82" s="4">
        <v>50000</v>
      </c>
      <c r="K82" s="5" t="s">
        <v>17</v>
      </c>
      <c r="L82">
        <f t="shared" si="6"/>
        <v>1</v>
      </c>
      <c r="M82">
        <f t="shared" ca="1" si="9"/>
        <v>13</v>
      </c>
      <c r="N82" s="15">
        <f t="shared" si="7"/>
        <v>0</v>
      </c>
      <c r="O82" t="str">
        <f t="shared" ca="1" si="8"/>
        <v>0-30 Days</v>
      </c>
    </row>
    <row r="83" spans="1:15" x14ac:dyDescent="0.3">
      <c r="A83" s="6" t="s">
        <v>359</v>
      </c>
      <c r="B83" s="7" t="s">
        <v>25</v>
      </c>
      <c r="C83" s="6" t="s">
        <v>26</v>
      </c>
      <c r="D83" s="2" t="str">
        <f t="shared" si="5"/>
        <v>Feb</v>
      </c>
      <c r="E83" s="25" t="s">
        <v>21</v>
      </c>
      <c r="F83" s="21" t="s">
        <v>14</v>
      </c>
      <c r="G83" s="21" t="s">
        <v>15</v>
      </c>
      <c r="H83" s="21" t="s">
        <v>23</v>
      </c>
      <c r="I83" s="8">
        <v>18000</v>
      </c>
      <c r="J83" s="8">
        <v>18000</v>
      </c>
      <c r="K83" s="5" t="s">
        <v>17</v>
      </c>
      <c r="L83">
        <f t="shared" si="6"/>
        <v>3</v>
      </c>
      <c r="M83">
        <f t="shared" ca="1" si="9"/>
        <v>15</v>
      </c>
      <c r="N83" s="15">
        <f t="shared" si="7"/>
        <v>0</v>
      </c>
      <c r="O83" t="str">
        <f t="shared" ca="1" si="8"/>
        <v>0-30 Days</v>
      </c>
    </row>
    <row r="84" spans="1:15" x14ac:dyDescent="0.3">
      <c r="A84" s="2" t="s">
        <v>360</v>
      </c>
      <c r="B84" s="3" t="s">
        <v>361</v>
      </c>
      <c r="C84" s="2" t="s">
        <v>12</v>
      </c>
      <c r="D84" s="2" t="str">
        <f t="shared" si="5"/>
        <v>Nov</v>
      </c>
      <c r="E84" s="24" t="s">
        <v>362</v>
      </c>
      <c r="F84" s="20" t="s">
        <v>326</v>
      </c>
      <c r="G84" s="20" t="s">
        <v>275</v>
      </c>
      <c r="H84" s="20" t="s">
        <v>363</v>
      </c>
      <c r="I84" s="4">
        <v>15000</v>
      </c>
      <c r="J84" s="4">
        <v>15000</v>
      </c>
      <c r="K84" s="5" t="s">
        <v>17</v>
      </c>
      <c r="L84">
        <f t="shared" si="6"/>
        <v>3</v>
      </c>
      <c r="M84">
        <f t="shared" ca="1" si="9"/>
        <v>23</v>
      </c>
      <c r="N84" s="15">
        <f t="shared" si="7"/>
        <v>0</v>
      </c>
      <c r="O84" t="str">
        <f t="shared" ca="1" si="8"/>
        <v>0-30 Days</v>
      </c>
    </row>
    <row r="85" spans="1:15" x14ac:dyDescent="0.3">
      <c r="A85" s="6" t="s">
        <v>364</v>
      </c>
      <c r="B85" s="7" t="s">
        <v>365</v>
      </c>
      <c r="C85" s="6" t="s">
        <v>40</v>
      </c>
      <c r="D85" s="2" t="str">
        <f t="shared" si="5"/>
        <v>May</v>
      </c>
      <c r="E85" s="25" t="s">
        <v>366</v>
      </c>
      <c r="F85" s="21" t="s">
        <v>367</v>
      </c>
      <c r="G85" s="21" t="s">
        <v>368</v>
      </c>
      <c r="H85" s="21" t="s">
        <v>369</v>
      </c>
      <c r="I85" s="8">
        <v>18000</v>
      </c>
      <c r="J85" s="8">
        <v>18000</v>
      </c>
      <c r="K85" s="5" t="s">
        <v>17</v>
      </c>
      <c r="L85">
        <f t="shared" si="6"/>
        <v>1</v>
      </c>
      <c r="M85">
        <f t="shared" ca="1" si="9"/>
        <v>22</v>
      </c>
      <c r="N85" s="15">
        <f t="shared" si="7"/>
        <v>0</v>
      </c>
      <c r="O85" t="str">
        <f t="shared" ca="1" si="8"/>
        <v>0-30 Days</v>
      </c>
    </row>
    <row r="86" spans="1:15" x14ac:dyDescent="0.3">
      <c r="A86" s="2" t="s">
        <v>370</v>
      </c>
      <c r="B86" s="3" t="s">
        <v>90</v>
      </c>
      <c r="C86" s="2" t="s">
        <v>12</v>
      </c>
      <c r="D86" s="2" t="str">
        <f t="shared" si="5"/>
        <v>Dec</v>
      </c>
      <c r="E86" s="24" t="s">
        <v>275</v>
      </c>
      <c r="F86" s="20" t="s">
        <v>94</v>
      </c>
      <c r="G86" s="20" t="s">
        <v>371</v>
      </c>
      <c r="H86" s="20" t="s">
        <v>304</v>
      </c>
      <c r="I86" s="4">
        <v>100000</v>
      </c>
      <c r="J86" s="4">
        <v>100000</v>
      </c>
      <c r="K86" s="5" t="s">
        <v>17</v>
      </c>
      <c r="L86">
        <f t="shared" si="6"/>
        <v>1</v>
      </c>
      <c r="M86">
        <f t="shared" ca="1" si="9"/>
        <v>26</v>
      </c>
      <c r="N86" s="15">
        <f t="shared" si="7"/>
        <v>0</v>
      </c>
      <c r="O86" t="str">
        <f t="shared" ca="1" si="8"/>
        <v>0-30 Days</v>
      </c>
    </row>
    <row r="87" spans="1:15" x14ac:dyDescent="0.3">
      <c r="A87" s="6" t="s">
        <v>372</v>
      </c>
      <c r="B87" s="7" t="s">
        <v>339</v>
      </c>
      <c r="C87" s="6" t="s">
        <v>12</v>
      </c>
      <c r="D87" s="2" t="str">
        <f t="shared" si="5"/>
        <v>Nov</v>
      </c>
      <c r="E87" s="25" t="s">
        <v>373</v>
      </c>
      <c r="F87" s="21" t="s">
        <v>136</v>
      </c>
      <c r="G87" s="21" t="s">
        <v>146</v>
      </c>
      <c r="H87" s="21"/>
      <c r="I87" s="8">
        <v>15000</v>
      </c>
      <c r="J87" s="8">
        <v>0</v>
      </c>
      <c r="K87" s="12" t="s">
        <v>71</v>
      </c>
      <c r="L87">
        <f t="shared" si="6"/>
        <v>2</v>
      </c>
      <c r="M87">
        <f t="shared" ca="1" si="9"/>
        <v>210</v>
      </c>
      <c r="N87" s="15">
        <f t="shared" si="7"/>
        <v>15000</v>
      </c>
      <c r="O87" t="str">
        <f t="shared" ca="1" si="8"/>
        <v>90+ Days</v>
      </c>
    </row>
    <row r="88" spans="1:15" x14ac:dyDescent="0.3">
      <c r="A88" s="2" t="s">
        <v>374</v>
      </c>
      <c r="B88" s="3" t="s">
        <v>165</v>
      </c>
      <c r="C88" s="2" t="s">
        <v>26</v>
      </c>
      <c r="D88" s="2" t="str">
        <f t="shared" si="5"/>
        <v>Sep</v>
      </c>
      <c r="E88" s="24" t="s">
        <v>322</v>
      </c>
      <c r="F88" s="20" t="s">
        <v>375</v>
      </c>
      <c r="G88" s="20" t="s">
        <v>376</v>
      </c>
      <c r="H88" s="20" t="s">
        <v>35</v>
      </c>
      <c r="I88" s="4">
        <v>18000</v>
      </c>
      <c r="J88" s="4">
        <v>18000</v>
      </c>
      <c r="K88" s="5" t="s">
        <v>17</v>
      </c>
      <c r="L88">
        <f t="shared" si="6"/>
        <v>2</v>
      </c>
      <c r="M88">
        <f t="shared" ca="1" si="9"/>
        <v>27</v>
      </c>
      <c r="N88" s="15">
        <f t="shared" si="7"/>
        <v>0</v>
      </c>
      <c r="O88" t="str">
        <f t="shared" ca="1" si="8"/>
        <v>0-30 Days</v>
      </c>
    </row>
    <row r="89" spans="1:15" x14ac:dyDescent="0.3">
      <c r="A89" s="6" t="s">
        <v>377</v>
      </c>
      <c r="B89" s="7" t="s">
        <v>378</v>
      </c>
      <c r="C89" s="6" t="s">
        <v>12</v>
      </c>
      <c r="D89" s="2" t="str">
        <f t="shared" si="5"/>
        <v>Oct</v>
      </c>
      <c r="E89" s="25" t="s">
        <v>133</v>
      </c>
      <c r="F89" s="21" t="s">
        <v>259</v>
      </c>
      <c r="G89" s="21" t="s">
        <v>278</v>
      </c>
      <c r="H89" s="21" t="s">
        <v>215</v>
      </c>
      <c r="I89" s="8">
        <v>30000</v>
      </c>
      <c r="J89" s="8">
        <v>30000</v>
      </c>
      <c r="K89" s="5" t="s">
        <v>17</v>
      </c>
      <c r="L89">
        <f t="shared" si="6"/>
        <v>1</v>
      </c>
      <c r="M89">
        <f t="shared" ca="1" si="9"/>
        <v>17</v>
      </c>
      <c r="N89" s="15">
        <f t="shared" si="7"/>
        <v>0</v>
      </c>
      <c r="O89" t="str">
        <f t="shared" ca="1" si="8"/>
        <v>0-30 Days</v>
      </c>
    </row>
    <row r="90" spans="1:15" x14ac:dyDescent="0.3">
      <c r="A90" s="2" t="s">
        <v>379</v>
      </c>
      <c r="B90" s="3" t="s">
        <v>380</v>
      </c>
      <c r="C90" s="2" t="s">
        <v>12</v>
      </c>
      <c r="D90" s="2" t="str">
        <f t="shared" si="5"/>
        <v>Mar</v>
      </c>
      <c r="E90" s="24" t="s">
        <v>381</v>
      </c>
      <c r="F90" s="20" t="s">
        <v>382</v>
      </c>
      <c r="G90" s="20" t="s">
        <v>383</v>
      </c>
      <c r="H90" s="20" t="s">
        <v>51</v>
      </c>
      <c r="I90" s="4">
        <v>60000</v>
      </c>
      <c r="J90" s="4">
        <v>60000</v>
      </c>
      <c r="K90" s="5" t="s">
        <v>17</v>
      </c>
      <c r="L90">
        <f t="shared" si="6"/>
        <v>3</v>
      </c>
      <c r="M90">
        <f t="shared" ca="1" si="9"/>
        <v>5</v>
      </c>
      <c r="N90" s="15">
        <f t="shared" si="7"/>
        <v>0</v>
      </c>
      <c r="O90" t="str">
        <f t="shared" ca="1" si="8"/>
        <v>0-30 Days</v>
      </c>
    </row>
    <row r="91" spans="1:15" x14ac:dyDescent="0.3">
      <c r="A91" s="6" t="s">
        <v>384</v>
      </c>
      <c r="B91" s="7" t="s">
        <v>165</v>
      </c>
      <c r="C91" s="6" t="s">
        <v>26</v>
      </c>
      <c r="D91" s="2" t="str">
        <f t="shared" si="5"/>
        <v>May</v>
      </c>
      <c r="E91" s="25" t="s">
        <v>385</v>
      </c>
      <c r="F91" s="21" t="s">
        <v>386</v>
      </c>
      <c r="G91" s="21" t="s">
        <v>387</v>
      </c>
      <c r="H91" s="21"/>
      <c r="I91" s="8">
        <v>18000</v>
      </c>
      <c r="J91" s="8">
        <v>0</v>
      </c>
      <c r="K91" s="12" t="s">
        <v>71</v>
      </c>
      <c r="L91">
        <f t="shared" si="6"/>
        <v>1</v>
      </c>
      <c r="M91">
        <f t="shared" ca="1" si="9"/>
        <v>384</v>
      </c>
      <c r="N91" s="15">
        <f t="shared" si="7"/>
        <v>18000</v>
      </c>
      <c r="O91" t="str">
        <f t="shared" ca="1" si="8"/>
        <v>90+ Days</v>
      </c>
    </row>
    <row r="92" spans="1:15" x14ac:dyDescent="0.3">
      <c r="A92" s="2" t="s">
        <v>388</v>
      </c>
      <c r="B92" s="3" t="s">
        <v>389</v>
      </c>
      <c r="C92" s="2" t="s">
        <v>12</v>
      </c>
      <c r="D92" s="2" t="str">
        <f t="shared" si="5"/>
        <v>Dec</v>
      </c>
      <c r="E92" s="24" t="s">
        <v>270</v>
      </c>
      <c r="F92" s="20" t="s">
        <v>141</v>
      </c>
      <c r="G92" s="20" t="s">
        <v>302</v>
      </c>
      <c r="H92" s="20" t="s">
        <v>390</v>
      </c>
      <c r="I92" s="4">
        <v>22000</v>
      </c>
      <c r="J92" s="4">
        <v>22000</v>
      </c>
      <c r="K92" s="5" t="s">
        <v>17</v>
      </c>
      <c r="L92">
        <f t="shared" si="6"/>
        <v>2</v>
      </c>
      <c r="M92">
        <f t="shared" ca="1" si="9"/>
        <v>26</v>
      </c>
      <c r="N92" s="15">
        <f t="shared" si="7"/>
        <v>0</v>
      </c>
      <c r="O92" t="str">
        <f t="shared" ca="1" si="8"/>
        <v>0-30 Days</v>
      </c>
    </row>
    <row r="93" spans="1:15" x14ac:dyDescent="0.3">
      <c r="A93" s="6" t="s">
        <v>391</v>
      </c>
      <c r="B93" s="7" t="s">
        <v>252</v>
      </c>
      <c r="C93" s="6" t="s">
        <v>12</v>
      </c>
      <c r="D93" s="2" t="str">
        <f t="shared" si="5"/>
        <v>Sep</v>
      </c>
      <c r="E93" s="25" t="s">
        <v>375</v>
      </c>
      <c r="F93" s="21" t="s">
        <v>158</v>
      </c>
      <c r="G93" s="21" t="s">
        <v>392</v>
      </c>
      <c r="H93" s="21" t="s">
        <v>184</v>
      </c>
      <c r="I93" s="8">
        <v>25000</v>
      </c>
      <c r="J93" s="8">
        <v>25000</v>
      </c>
      <c r="K93" s="9" t="s">
        <v>45</v>
      </c>
      <c r="L93">
        <f t="shared" si="6"/>
        <v>2</v>
      </c>
      <c r="M93">
        <f t="shared" ca="1" si="9"/>
        <v>40</v>
      </c>
      <c r="N93" s="15">
        <f t="shared" si="7"/>
        <v>0</v>
      </c>
      <c r="O93" t="str">
        <f t="shared" ca="1" si="8"/>
        <v>31-60 Days</v>
      </c>
    </row>
    <row r="94" spans="1:15" x14ac:dyDescent="0.3">
      <c r="A94" s="2" t="s">
        <v>393</v>
      </c>
      <c r="B94" s="3" t="s">
        <v>130</v>
      </c>
      <c r="C94" s="2" t="s">
        <v>12</v>
      </c>
      <c r="D94" s="2" t="str">
        <f t="shared" si="5"/>
        <v>Dec</v>
      </c>
      <c r="E94" s="24" t="s">
        <v>75</v>
      </c>
      <c r="F94" s="20" t="s">
        <v>281</v>
      </c>
      <c r="G94" s="20" t="s">
        <v>394</v>
      </c>
      <c r="H94" s="20" t="s">
        <v>190</v>
      </c>
      <c r="I94" s="4">
        <v>75000</v>
      </c>
      <c r="J94" s="4">
        <v>75000</v>
      </c>
      <c r="K94" s="5" t="s">
        <v>17</v>
      </c>
      <c r="L94">
        <f t="shared" si="6"/>
        <v>3</v>
      </c>
      <c r="M94">
        <f t="shared" ca="1" si="9"/>
        <v>12</v>
      </c>
      <c r="N94" s="15">
        <f t="shared" si="7"/>
        <v>0</v>
      </c>
      <c r="O94" t="str">
        <f t="shared" ca="1" si="8"/>
        <v>0-30 Days</v>
      </c>
    </row>
    <row r="95" spans="1:15" x14ac:dyDescent="0.3">
      <c r="A95" s="6" t="s">
        <v>395</v>
      </c>
      <c r="B95" s="7" t="s">
        <v>380</v>
      </c>
      <c r="C95" s="6" t="s">
        <v>12</v>
      </c>
      <c r="D95" s="2" t="str">
        <f t="shared" si="5"/>
        <v>Jun</v>
      </c>
      <c r="E95" s="25" t="s">
        <v>177</v>
      </c>
      <c r="F95" s="21" t="s">
        <v>396</v>
      </c>
      <c r="G95" s="21" t="s">
        <v>85</v>
      </c>
      <c r="H95" s="21" t="s">
        <v>397</v>
      </c>
      <c r="I95" s="8">
        <v>30000</v>
      </c>
      <c r="J95" s="8">
        <v>30000</v>
      </c>
      <c r="K95" s="5" t="s">
        <v>17</v>
      </c>
      <c r="L95">
        <f t="shared" si="6"/>
        <v>1</v>
      </c>
      <c r="M95">
        <f t="shared" ca="1" si="9"/>
        <v>6</v>
      </c>
      <c r="N95" s="15">
        <f t="shared" si="7"/>
        <v>0</v>
      </c>
      <c r="O95" t="str">
        <f t="shared" ca="1" si="8"/>
        <v>0-30 Days</v>
      </c>
    </row>
    <row r="96" spans="1:15" x14ac:dyDescent="0.3">
      <c r="A96" s="2" t="s">
        <v>398</v>
      </c>
      <c r="B96" s="3" t="s">
        <v>120</v>
      </c>
      <c r="C96" s="2" t="s">
        <v>40</v>
      </c>
      <c r="D96" s="2" t="str">
        <f t="shared" si="5"/>
        <v>Sep</v>
      </c>
      <c r="E96" s="24" t="s">
        <v>341</v>
      </c>
      <c r="F96" s="20" t="s">
        <v>399</v>
      </c>
      <c r="G96" s="20" t="s">
        <v>400</v>
      </c>
      <c r="H96" s="20" t="s">
        <v>171</v>
      </c>
      <c r="I96" s="4">
        <v>10000</v>
      </c>
      <c r="J96" s="4">
        <v>10000</v>
      </c>
      <c r="K96" s="5" t="s">
        <v>17</v>
      </c>
      <c r="L96">
        <f t="shared" si="6"/>
        <v>3</v>
      </c>
      <c r="M96">
        <f t="shared" ca="1" si="9"/>
        <v>25</v>
      </c>
      <c r="N96" s="15">
        <f t="shared" si="7"/>
        <v>0</v>
      </c>
      <c r="O96" t="str">
        <f t="shared" ca="1" si="8"/>
        <v>0-30 Days</v>
      </c>
    </row>
    <row r="97" spans="1:15" x14ac:dyDescent="0.3">
      <c r="A97" s="6" t="s">
        <v>401</v>
      </c>
      <c r="B97" s="7" t="s">
        <v>402</v>
      </c>
      <c r="C97" s="6" t="s">
        <v>12</v>
      </c>
      <c r="D97" s="2" t="str">
        <f t="shared" si="5"/>
        <v>Apr</v>
      </c>
      <c r="E97" s="25" t="s">
        <v>403</v>
      </c>
      <c r="F97" s="21" t="s">
        <v>240</v>
      </c>
      <c r="G97" s="21" t="s">
        <v>404</v>
      </c>
      <c r="H97" s="21" t="s">
        <v>405</v>
      </c>
      <c r="I97" s="8">
        <v>12000</v>
      </c>
      <c r="J97" s="8">
        <v>12000</v>
      </c>
      <c r="K97" s="5" t="s">
        <v>17</v>
      </c>
      <c r="L97">
        <f t="shared" si="6"/>
        <v>3</v>
      </c>
      <c r="M97">
        <f t="shared" ca="1" si="9"/>
        <v>12</v>
      </c>
      <c r="N97" s="15">
        <f t="shared" si="7"/>
        <v>0</v>
      </c>
      <c r="O97" t="str">
        <f t="shared" ca="1" si="8"/>
        <v>0-30 Days</v>
      </c>
    </row>
    <row r="98" spans="1:15" x14ac:dyDescent="0.3">
      <c r="A98" s="2" t="s">
        <v>406</v>
      </c>
      <c r="B98" s="3" t="s">
        <v>407</v>
      </c>
      <c r="C98" s="2" t="s">
        <v>33</v>
      </c>
      <c r="D98" s="2" t="str">
        <f t="shared" si="5"/>
        <v>Dec</v>
      </c>
      <c r="E98" s="24" t="s">
        <v>270</v>
      </c>
      <c r="F98" s="20" t="s">
        <v>74</v>
      </c>
      <c r="G98" s="20" t="s">
        <v>408</v>
      </c>
      <c r="H98" s="20" t="s">
        <v>409</v>
      </c>
      <c r="I98" s="4">
        <v>5000</v>
      </c>
      <c r="J98" s="4">
        <v>2500</v>
      </c>
      <c r="K98" s="13" t="s">
        <v>113</v>
      </c>
      <c r="L98">
        <f t="shared" si="6"/>
        <v>3</v>
      </c>
      <c r="M98">
        <f t="shared" ca="1" si="9"/>
        <v>11</v>
      </c>
      <c r="N98" s="15">
        <f t="shared" si="7"/>
        <v>2500</v>
      </c>
      <c r="O98" t="str">
        <f t="shared" ca="1" si="8"/>
        <v>0-30 Days</v>
      </c>
    </row>
    <row r="99" spans="1:15" x14ac:dyDescent="0.3">
      <c r="A99" s="6" t="s">
        <v>410</v>
      </c>
      <c r="B99" s="7" t="s">
        <v>198</v>
      </c>
      <c r="C99" s="6" t="s">
        <v>26</v>
      </c>
      <c r="D99" s="2" t="str">
        <f t="shared" si="5"/>
        <v>Apr</v>
      </c>
      <c r="E99" s="25" t="s">
        <v>219</v>
      </c>
      <c r="F99" s="21" t="s">
        <v>237</v>
      </c>
      <c r="G99" s="21" t="s">
        <v>411</v>
      </c>
      <c r="H99" s="21" t="s">
        <v>412</v>
      </c>
      <c r="I99" s="8">
        <v>45000</v>
      </c>
      <c r="J99" s="8">
        <v>45000</v>
      </c>
      <c r="K99" s="5" t="s">
        <v>17</v>
      </c>
      <c r="L99">
        <f t="shared" si="6"/>
        <v>3</v>
      </c>
      <c r="M99">
        <f t="shared" ca="1" si="9"/>
        <v>22</v>
      </c>
      <c r="N99" s="15">
        <f t="shared" si="7"/>
        <v>0</v>
      </c>
      <c r="O99" t="str">
        <f t="shared" ca="1" si="8"/>
        <v>0-30 Days</v>
      </c>
    </row>
    <row r="100" spans="1:15" x14ac:dyDescent="0.3">
      <c r="A100" s="2" t="s">
        <v>413</v>
      </c>
      <c r="B100" s="3" t="s">
        <v>120</v>
      </c>
      <c r="C100" s="2" t="s">
        <v>40</v>
      </c>
      <c r="D100" s="2" t="str">
        <f t="shared" si="5"/>
        <v>Mar</v>
      </c>
      <c r="E100" s="24" t="s">
        <v>262</v>
      </c>
      <c r="F100" s="20" t="s">
        <v>201</v>
      </c>
      <c r="G100" s="20" t="s">
        <v>162</v>
      </c>
      <c r="H100" s="20"/>
      <c r="I100" s="4">
        <v>20000</v>
      </c>
      <c r="J100" s="4">
        <v>0</v>
      </c>
      <c r="K100" s="10" t="s">
        <v>57</v>
      </c>
      <c r="L100">
        <f t="shared" si="6"/>
        <v>2</v>
      </c>
      <c r="M100">
        <f t="shared" ca="1" si="9"/>
        <v>467</v>
      </c>
      <c r="N100" s="15">
        <f t="shared" si="7"/>
        <v>20000</v>
      </c>
      <c r="O100" t="str">
        <f t="shared" ca="1" si="8"/>
        <v>90+ Days</v>
      </c>
    </row>
    <row r="101" spans="1:15" x14ac:dyDescent="0.3">
      <c r="A101" s="6" t="s">
        <v>414</v>
      </c>
      <c r="B101" s="7" t="s">
        <v>415</v>
      </c>
      <c r="C101" s="6" t="s">
        <v>12</v>
      </c>
      <c r="D101" s="2" t="str">
        <f t="shared" si="5"/>
        <v>Sep</v>
      </c>
      <c r="E101" s="25" t="s">
        <v>171</v>
      </c>
      <c r="F101" s="21" t="s">
        <v>416</v>
      </c>
      <c r="G101" s="21" t="s">
        <v>269</v>
      </c>
      <c r="H101" s="21"/>
      <c r="I101" s="8">
        <v>75000</v>
      </c>
      <c r="J101" s="8">
        <v>0</v>
      </c>
      <c r="K101" s="11" t="s">
        <v>63</v>
      </c>
      <c r="L101">
        <f t="shared" si="6"/>
        <v>3</v>
      </c>
      <c r="M101">
        <f t="shared" ca="1" si="9"/>
        <v>257</v>
      </c>
      <c r="N101" s="15">
        <f t="shared" si="7"/>
        <v>75000</v>
      </c>
      <c r="O101" t="str">
        <f t="shared" ca="1" si="8"/>
        <v>90+ Days</v>
      </c>
    </row>
    <row r="102" spans="1:15" x14ac:dyDescent="0.3">
      <c r="A102" s="2" t="s">
        <v>417</v>
      </c>
      <c r="B102" s="3" t="s">
        <v>242</v>
      </c>
      <c r="C102" s="2" t="s">
        <v>12</v>
      </c>
      <c r="D102" s="2" t="str">
        <f t="shared" si="5"/>
        <v>Nov</v>
      </c>
      <c r="E102" s="24" t="s">
        <v>326</v>
      </c>
      <c r="F102" s="20" t="s">
        <v>418</v>
      </c>
      <c r="G102" s="20" t="s">
        <v>286</v>
      </c>
      <c r="H102" s="20" t="s">
        <v>74</v>
      </c>
      <c r="I102" s="4">
        <v>45000</v>
      </c>
      <c r="J102" s="4">
        <v>45000</v>
      </c>
      <c r="K102" s="5" t="s">
        <v>17</v>
      </c>
      <c r="L102">
        <f t="shared" si="6"/>
        <v>3</v>
      </c>
      <c r="M102">
        <f t="shared" ca="1" si="9"/>
        <v>22</v>
      </c>
      <c r="N102" s="15">
        <f t="shared" si="7"/>
        <v>0</v>
      </c>
      <c r="O102" t="str">
        <f t="shared" ca="1" si="8"/>
        <v>0-30 Days</v>
      </c>
    </row>
    <row r="103" spans="1:15" x14ac:dyDescent="0.3">
      <c r="A103" s="6" t="s">
        <v>419</v>
      </c>
      <c r="B103" s="7" t="s">
        <v>420</v>
      </c>
      <c r="C103" s="6" t="s">
        <v>12</v>
      </c>
      <c r="D103" s="2" t="str">
        <f t="shared" si="5"/>
        <v>Mar</v>
      </c>
      <c r="E103" s="25" t="s">
        <v>421</v>
      </c>
      <c r="F103" s="21" t="s">
        <v>422</v>
      </c>
      <c r="G103" s="21" t="s">
        <v>405</v>
      </c>
      <c r="H103" s="21" t="s">
        <v>423</v>
      </c>
      <c r="I103" s="8">
        <v>35000</v>
      </c>
      <c r="J103" s="8">
        <v>35000</v>
      </c>
      <c r="K103" s="5" t="s">
        <v>17</v>
      </c>
      <c r="L103">
        <f t="shared" si="6"/>
        <v>3</v>
      </c>
      <c r="M103">
        <f t="shared" ca="1" si="9"/>
        <v>12</v>
      </c>
      <c r="N103" s="15">
        <f t="shared" si="7"/>
        <v>0</v>
      </c>
      <c r="O103" t="str">
        <f t="shared" ca="1" si="8"/>
        <v>0-30 Days</v>
      </c>
    </row>
    <row r="104" spans="1:15" x14ac:dyDescent="0.3">
      <c r="A104" s="2" t="s">
        <v>424</v>
      </c>
      <c r="B104" s="3" t="s">
        <v>11</v>
      </c>
      <c r="C104" s="2" t="s">
        <v>12</v>
      </c>
      <c r="D104" s="2" t="str">
        <f t="shared" si="5"/>
        <v>May</v>
      </c>
      <c r="E104" s="24" t="s">
        <v>425</v>
      </c>
      <c r="F104" s="20" t="s">
        <v>426</v>
      </c>
      <c r="G104" s="20" t="s">
        <v>427</v>
      </c>
      <c r="H104" s="20" t="s">
        <v>54</v>
      </c>
      <c r="I104" s="4">
        <v>35000</v>
      </c>
      <c r="J104" s="4">
        <v>35000</v>
      </c>
      <c r="K104" s="9" t="s">
        <v>45</v>
      </c>
      <c r="L104">
        <f t="shared" si="6"/>
        <v>3</v>
      </c>
      <c r="M104">
        <f t="shared" ca="1" si="9"/>
        <v>39</v>
      </c>
      <c r="N104" s="15">
        <f t="shared" si="7"/>
        <v>0</v>
      </c>
      <c r="O104" t="str">
        <f t="shared" ca="1" si="8"/>
        <v>31-60 Days</v>
      </c>
    </row>
    <row r="105" spans="1:15" x14ac:dyDescent="0.3">
      <c r="A105" s="6" t="s">
        <v>428</v>
      </c>
      <c r="B105" s="7" t="s">
        <v>242</v>
      </c>
      <c r="C105" s="6" t="s">
        <v>12</v>
      </c>
      <c r="D105" s="2" t="str">
        <f t="shared" si="5"/>
        <v>Feb</v>
      </c>
      <c r="E105" s="25" t="s">
        <v>429</v>
      </c>
      <c r="F105" s="21" t="s">
        <v>318</v>
      </c>
      <c r="G105" s="21" t="s">
        <v>202</v>
      </c>
      <c r="H105" s="21" t="s">
        <v>13</v>
      </c>
      <c r="I105" s="8">
        <v>60000</v>
      </c>
      <c r="J105" s="8">
        <v>60000</v>
      </c>
      <c r="K105" s="5" t="s">
        <v>17</v>
      </c>
      <c r="L105">
        <f t="shared" si="6"/>
        <v>3</v>
      </c>
      <c r="M105">
        <f t="shared" ca="1" si="9"/>
        <v>15</v>
      </c>
      <c r="N105" s="15">
        <f t="shared" si="7"/>
        <v>0</v>
      </c>
      <c r="O105" t="str">
        <f t="shared" ca="1" si="8"/>
        <v>0-30 Days</v>
      </c>
    </row>
    <row r="106" spans="1:15" x14ac:dyDescent="0.3">
      <c r="A106" s="2" t="s">
        <v>430</v>
      </c>
      <c r="B106" s="3" t="s">
        <v>431</v>
      </c>
      <c r="C106" s="2" t="s">
        <v>12</v>
      </c>
      <c r="D106" s="2" t="str">
        <f t="shared" si="5"/>
        <v>Oct</v>
      </c>
      <c r="E106" s="24" t="s">
        <v>400</v>
      </c>
      <c r="F106" s="20" t="s">
        <v>432</v>
      </c>
      <c r="G106" s="20" t="s">
        <v>37</v>
      </c>
      <c r="H106" s="20" t="s">
        <v>214</v>
      </c>
      <c r="I106" s="4">
        <v>20000</v>
      </c>
      <c r="J106" s="4">
        <v>20000</v>
      </c>
      <c r="K106" s="5" t="s">
        <v>17</v>
      </c>
      <c r="L106">
        <f t="shared" si="6"/>
        <v>1</v>
      </c>
      <c r="M106">
        <f t="shared" ca="1" si="9"/>
        <v>17</v>
      </c>
      <c r="N106" s="15">
        <f t="shared" si="7"/>
        <v>0</v>
      </c>
      <c r="O106" t="str">
        <f t="shared" ca="1" si="8"/>
        <v>0-30 Days</v>
      </c>
    </row>
    <row r="107" spans="1:15" x14ac:dyDescent="0.3">
      <c r="A107" s="6" t="s">
        <v>433</v>
      </c>
      <c r="B107" s="7" t="s">
        <v>434</v>
      </c>
      <c r="C107" s="6" t="s">
        <v>12</v>
      </c>
      <c r="D107" s="2" t="str">
        <f t="shared" si="5"/>
        <v>Mar</v>
      </c>
      <c r="E107" s="25" t="s">
        <v>249</v>
      </c>
      <c r="F107" s="21" t="s">
        <v>421</v>
      </c>
      <c r="G107" s="21" t="s">
        <v>435</v>
      </c>
      <c r="H107" s="21" t="s">
        <v>403</v>
      </c>
      <c r="I107" s="8">
        <v>30000</v>
      </c>
      <c r="J107" s="8">
        <v>30000</v>
      </c>
      <c r="K107" s="5" t="s">
        <v>17</v>
      </c>
      <c r="L107">
        <f t="shared" si="6"/>
        <v>3</v>
      </c>
      <c r="M107">
        <f t="shared" ca="1" si="9"/>
        <v>18</v>
      </c>
      <c r="N107" s="15">
        <f t="shared" si="7"/>
        <v>0</v>
      </c>
      <c r="O107" t="str">
        <f t="shared" ca="1" si="8"/>
        <v>0-30 Days</v>
      </c>
    </row>
    <row r="108" spans="1:15" x14ac:dyDescent="0.3">
      <c r="A108" s="2" t="s">
        <v>436</v>
      </c>
      <c r="B108" s="3" t="s">
        <v>339</v>
      </c>
      <c r="C108" s="2" t="s">
        <v>12</v>
      </c>
      <c r="D108" s="2" t="str">
        <f t="shared" si="5"/>
        <v>Oct</v>
      </c>
      <c r="E108" s="24" t="s">
        <v>432</v>
      </c>
      <c r="F108" s="20" t="s">
        <v>437</v>
      </c>
      <c r="G108" s="20" t="s">
        <v>128</v>
      </c>
      <c r="H108" s="20" t="s">
        <v>327</v>
      </c>
      <c r="I108" s="4">
        <v>18000</v>
      </c>
      <c r="J108" s="4">
        <v>18000</v>
      </c>
      <c r="K108" s="5" t="s">
        <v>17</v>
      </c>
      <c r="L108">
        <f t="shared" si="6"/>
        <v>2</v>
      </c>
      <c r="M108">
        <f t="shared" ca="1" si="9"/>
        <v>18</v>
      </c>
      <c r="N108" s="15">
        <f t="shared" si="7"/>
        <v>0</v>
      </c>
      <c r="O108" t="str">
        <f t="shared" ca="1" si="8"/>
        <v>0-30 Days</v>
      </c>
    </row>
    <row r="109" spans="1:15" x14ac:dyDescent="0.3">
      <c r="A109" s="6" t="s">
        <v>438</v>
      </c>
      <c r="B109" s="7" t="s">
        <v>439</v>
      </c>
      <c r="C109" s="6" t="s">
        <v>12</v>
      </c>
      <c r="D109" s="2" t="str">
        <f t="shared" si="5"/>
        <v>Oct</v>
      </c>
      <c r="E109" s="25" t="s">
        <v>274</v>
      </c>
      <c r="F109" s="21" t="s">
        <v>173</v>
      </c>
      <c r="G109" s="21" t="s">
        <v>92</v>
      </c>
      <c r="H109" s="21"/>
      <c r="I109" s="8">
        <v>5000</v>
      </c>
      <c r="J109" s="8">
        <v>0</v>
      </c>
      <c r="K109" s="10" t="s">
        <v>57</v>
      </c>
      <c r="L109">
        <f t="shared" si="6"/>
        <v>3</v>
      </c>
      <c r="M109">
        <f t="shared" ca="1" si="9"/>
        <v>229</v>
      </c>
      <c r="N109" s="15">
        <f t="shared" si="7"/>
        <v>5000</v>
      </c>
      <c r="O109" t="str">
        <f t="shared" ca="1" si="8"/>
        <v>90+ Days</v>
      </c>
    </row>
    <row r="110" spans="1:15" x14ac:dyDescent="0.3">
      <c r="A110" s="2" t="s">
        <v>440</v>
      </c>
      <c r="B110" s="3" t="s">
        <v>160</v>
      </c>
      <c r="C110" s="2" t="s">
        <v>40</v>
      </c>
      <c r="D110" s="2" t="str">
        <f t="shared" si="5"/>
        <v>Oct</v>
      </c>
      <c r="E110" s="24" t="s">
        <v>214</v>
      </c>
      <c r="F110" s="20" t="s">
        <v>273</v>
      </c>
      <c r="G110" s="20" t="s">
        <v>441</v>
      </c>
      <c r="H110" s="20" t="s">
        <v>245</v>
      </c>
      <c r="I110" s="4">
        <v>35000</v>
      </c>
      <c r="J110" s="4">
        <v>35000</v>
      </c>
      <c r="K110" s="5" t="s">
        <v>17</v>
      </c>
      <c r="L110">
        <f t="shared" si="6"/>
        <v>2</v>
      </c>
      <c r="M110">
        <f t="shared" ca="1" si="9"/>
        <v>16</v>
      </c>
      <c r="N110" s="15">
        <f t="shared" si="7"/>
        <v>0</v>
      </c>
      <c r="O110" t="str">
        <f t="shared" ca="1" si="8"/>
        <v>0-30 Days</v>
      </c>
    </row>
    <row r="111" spans="1:15" x14ac:dyDescent="0.3">
      <c r="A111" s="6" t="s">
        <v>442</v>
      </c>
      <c r="B111" s="7" t="s">
        <v>165</v>
      </c>
      <c r="C111" s="6" t="s">
        <v>26</v>
      </c>
      <c r="D111" s="2" t="str">
        <f t="shared" si="5"/>
        <v>Jul</v>
      </c>
      <c r="E111" s="25" t="s">
        <v>443</v>
      </c>
      <c r="F111" s="21" t="s">
        <v>444</v>
      </c>
      <c r="G111" s="21" t="s">
        <v>445</v>
      </c>
      <c r="H111" s="21"/>
      <c r="I111" s="8">
        <v>55000</v>
      </c>
      <c r="J111" s="8">
        <v>0</v>
      </c>
      <c r="K111" s="12" t="s">
        <v>71</v>
      </c>
      <c r="L111">
        <f t="shared" si="6"/>
        <v>2</v>
      </c>
      <c r="M111">
        <f t="shared" ca="1" si="9"/>
        <v>330</v>
      </c>
      <c r="N111" s="15">
        <f t="shared" si="7"/>
        <v>55000</v>
      </c>
      <c r="O111" t="str">
        <f t="shared" ca="1" si="8"/>
        <v>90+ Days</v>
      </c>
    </row>
    <row r="112" spans="1:15" x14ac:dyDescent="0.3">
      <c r="A112" s="2" t="s">
        <v>446</v>
      </c>
      <c r="B112" s="3" t="s">
        <v>170</v>
      </c>
      <c r="C112" s="2" t="s">
        <v>12</v>
      </c>
      <c r="D112" s="2" t="str">
        <f t="shared" si="5"/>
        <v>Nov</v>
      </c>
      <c r="E112" s="24" t="s">
        <v>447</v>
      </c>
      <c r="F112" s="20" t="s">
        <v>128</v>
      </c>
      <c r="G112" s="20" t="s">
        <v>75</v>
      </c>
      <c r="H112" s="20" t="s">
        <v>166</v>
      </c>
      <c r="I112" s="4">
        <v>35000</v>
      </c>
      <c r="J112" s="4">
        <v>35000</v>
      </c>
      <c r="K112" s="5" t="s">
        <v>17</v>
      </c>
      <c r="L112">
        <f t="shared" si="6"/>
        <v>1</v>
      </c>
      <c r="M112">
        <f t="shared" ca="1" si="9"/>
        <v>18</v>
      </c>
      <c r="N112" s="15">
        <f t="shared" si="7"/>
        <v>0</v>
      </c>
      <c r="O112" t="str">
        <f t="shared" ca="1" si="8"/>
        <v>0-30 Days</v>
      </c>
    </row>
    <row r="113" spans="1:15" x14ac:dyDescent="0.3">
      <c r="A113" s="6" t="s">
        <v>448</v>
      </c>
      <c r="B113" s="7" t="s">
        <v>449</v>
      </c>
      <c r="C113" s="6" t="s">
        <v>12</v>
      </c>
      <c r="D113" s="2" t="str">
        <f t="shared" si="5"/>
        <v>Jan</v>
      </c>
      <c r="E113" s="25" t="s">
        <v>357</v>
      </c>
      <c r="F113" s="21" t="s">
        <v>28</v>
      </c>
      <c r="G113" s="21" t="s">
        <v>29</v>
      </c>
      <c r="H113" s="21" t="s">
        <v>202</v>
      </c>
      <c r="I113" s="8">
        <v>75000</v>
      </c>
      <c r="J113" s="8">
        <v>75000</v>
      </c>
      <c r="K113" s="9" t="s">
        <v>45</v>
      </c>
      <c r="L113">
        <f t="shared" si="6"/>
        <v>2</v>
      </c>
      <c r="M113">
        <f t="shared" ca="1" si="9"/>
        <v>56</v>
      </c>
      <c r="N113" s="15">
        <f t="shared" si="7"/>
        <v>0</v>
      </c>
      <c r="O113" t="str">
        <f t="shared" ca="1" si="8"/>
        <v>31-60 Days</v>
      </c>
    </row>
    <row r="114" spans="1:15" x14ac:dyDescent="0.3">
      <c r="A114" s="2" t="s">
        <v>450</v>
      </c>
      <c r="B114" s="3" t="s">
        <v>108</v>
      </c>
      <c r="C114" s="2" t="s">
        <v>12</v>
      </c>
      <c r="D114" s="2" t="str">
        <f t="shared" si="5"/>
        <v>Mar</v>
      </c>
      <c r="E114" s="24" t="s">
        <v>422</v>
      </c>
      <c r="F114" s="20" t="s">
        <v>451</v>
      </c>
      <c r="G114" s="20" t="s">
        <v>452</v>
      </c>
      <c r="H114" s="20"/>
      <c r="I114" s="4">
        <v>20000</v>
      </c>
      <c r="J114" s="4">
        <v>0</v>
      </c>
      <c r="K114" s="11" t="s">
        <v>63</v>
      </c>
      <c r="L114">
        <f t="shared" si="6"/>
        <v>2</v>
      </c>
      <c r="M114">
        <f t="shared" ca="1" si="9"/>
        <v>445</v>
      </c>
      <c r="N114" s="15">
        <f t="shared" si="7"/>
        <v>20000</v>
      </c>
      <c r="O114" t="str">
        <f t="shared" ca="1" si="8"/>
        <v>90+ Days</v>
      </c>
    </row>
    <row r="115" spans="1:15" x14ac:dyDescent="0.3">
      <c r="A115" s="6" t="s">
        <v>453</v>
      </c>
      <c r="B115" s="7" t="s">
        <v>454</v>
      </c>
      <c r="C115" s="6" t="s">
        <v>12</v>
      </c>
      <c r="D115" s="2" t="str">
        <f t="shared" si="5"/>
        <v>Jan</v>
      </c>
      <c r="E115" s="25" t="s">
        <v>455</v>
      </c>
      <c r="F115" s="21" t="s">
        <v>27</v>
      </c>
      <c r="G115" s="21" t="s">
        <v>358</v>
      </c>
      <c r="H115" s="21" t="s">
        <v>231</v>
      </c>
      <c r="I115" s="8">
        <v>5000</v>
      </c>
      <c r="J115" s="8">
        <v>5000</v>
      </c>
      <c r="K115" s="5" t="s">
        <v>17</v>
      </c>
      <c r="L115">
        <f t="shared" si="6"/>
        <v>2</v>
      </c>
      <c r="M115">
        <f t="shared" ca="1" si="9"/>
        <v>18</v>
      </c>
      <c r="N115" s="15">
        <f t="shared" si="7"/>
        <v>0</v>
      </c>
      <c r="O115" t="str">
        <f t="shared" ca="1" si="8"/>
        <v>0-30 Days</v>
      </c>
    </row>
    <row r="116" spans="1:15" x14ac:dyDescent="0.3">
      <c r="A116" s="2" t="s">
        <v>456</v>
      </c>
      <c r="B116" s="3" t="s">
        <v>457</v>
      </c>
      <c r="C116" s="2" t="s">
        <v>40</v>
      </c>
      <c r="D116" s="2" t="str">
        <f t="shared" si="5"/>
        <v>Aug</v>
      </c>
      <c r="E116" s="24" t="s">
        <v>96</v>
      </c>
      <c r="F116" s="20" t="s">
        <v>289</v>
      </c>
      <c r="G116" s="20" t="s">
        <v>290</v>
      </c>
      <c r="H116" s="20" t="s">
        <v>131</v>
      </c>
      <c r="I116" s="4">
        <v>8000</v>
      </c>
      <c r="J116" s="4">
        <v>8000</v>
      </c>
      <c r="K116" s="5" t="s">
        <v>17</v>
      </c>
      <c r="L116">
        <f t="shared" si="6"/>
        <v>1</v>
      </c>
      <c r="M116">
        <f t="shared" ca="1" si="9"/>
        <v>15</v>
      </c>
      <c r="N116" s="15">
        <f t="shared" si="7"/>
        <v>0</v>
      </c>
      <c r="O116" t="str">
        <f t="shared" ca="1" si="8"/>
        <v>0-30 Days</v>
      </c>
    </row>
    <row r="117" spans="1:15" x14ac:dyDescent="0.3">
      <c r="A117" s="6" t="s">
        <v>458</v>
      </c>
      <c r="B117" s="7" t="s">
        <v>252</v>
      </c>
      <c r="C117" s="6" t="s">
        <v>12</v>
      </c>
      <c r="D117" s="2" t="str">
        <f t="shared" si="5"/>
        <v>Aug</v>
      </c>
      <c r="E117" s="25" t="s">
        <v>156</v>
      </c>
      <c r="F117" s="21" t="s">
        <v>256</v>
      </c>
      <c r="G117" s="21" t="s">
        <v>213</v>
      </c>
      <c r="H117" s="21"/>
      <c r="I117" s="8">
        <v>75000</v>
      </c>
      <c r="J117" s="8">
        <v>0</v>
      </c>
      <c r="K117" s="12" t="s">
        <v>71</v>
      </c>
      <c r="L117">
        <f t="shared" si="6"/>
        <v>2</v>
      </c>
      <c r="M117">
        <f t="shared" ca="1" si="9"/>
        <v>297</v>
      </c>
      <c r="N117" s="15">
        <f t="shared" si="7"/>
        <v>75000</v>
      </c>
      <c r="O117" t="str">
        <f t="shared" ca="1" si="8"/>
        <v>90+ Days</v>
      </c>
    </row>
    <row r="118" spans="1:15" x14ac:dyDescent="0.3">
      <c r="A118" s="2" t="s">
        <v>459</v>
      </c>
      <c r="B118" s="3" t="s">
        <v>65</v>
      </c>
      <c r="C118" s="2" t="s">
        <v>12</v>
      </c>
      <c r="D118" s="2" t="str">
        <f t="shared" si="5"/>
        <v>May</v>
      </c>
      <c r="E118" s="24" t="s">
        <v>41</v>
      </c>
      <c r="F118" s="20" t="s">
        <v>426</v>
      </c>
      <c r="G118" s="20" t="s">
        <v>427</v>
      </c>
      <c r="H118" s="20"/>
      <c r="I118" s="4">
        <v>50000</v>
      </c>
      <c r="J118" s="4">
        <v>0</v>
      </c>
      <c r="K118" s="10" t="s">
        <v>57</v>
      </c>
      <c r="L118">
        <f t="shared" si="6"/>
        <v>2</v>
      </c>
      <c r="M118">
        <f t="shared" ca="1" si="9"/>
        <v>387</v>
      </c>
      <c r="N118" s="15">
        <f t="shared" si="7"/>
        <v>50000</v>
      </c>
      <c r="O118" t="str">
        <f t="shared" ca="1" si="8"/>
        <v>90+ Days</v>
      </c>
    </row>
    <row r="119" spans="1:15" x14ac:dyDescent="0.3">
      <c r="A119" s="6" t="s">
        <v>460</v>
      </c>
      <c r="B119" s="7" t="s">
        <v>461</v>
      </c>
      <c r="C119" s="6" t="s">
        <v>12</v>
      </c>
      <c r="D119" s="2" t="str">
        <f t="shared" si="5"/>
        <v>Jan</v>
      </c>
      <c r="E119" s="25" t="s">
        <v>462</v>
      </c>
      <c r="F119" s="21" t="s">
        <v>463</v>
      </c>
      <c r="G119" s="21" t="s">
        <v>318</v>
      </c>
      <c r="H119" s="21" t="s">
        <v>104</v>
      </c>
      <c r="I119" s="8">
        <v>55000</v>
      </c>
      <c r="J119" s="8">
        <v>55000</v>
      </c>
      <c r="K119" s="5" t="s">
        <v>17</v>
      </c>
      <c r="L119">
        <f t="shared" si="6"/>
        <v>3</v>
      </c>
      <c r="M119">
        <f t="shared" ca="1" si="9"/>
        <v>16</v>
      </c>
      <c r="N119" s="15">
        <f t="shared" si="7"/>
        <v>0</v>
      </c>
      <c r="O119" t="str">
        <f t="shared" ca="1" si="8"/>
        <v>0-30 Days</v>
      </c>
    </row>
    <row r="120" spans="1:15" x14ac:dyDescent="0.3">
      <c r="A120" s="2" t="s">
        <v>464</v>
      </c>
      <c r="B120" s="3" t="s">
        <v>198</v>
      </c>
      <c r="C120" s="2" t="s">
        <v>26</v>
      </c>
      <c r="D120" s="2" t="str">
        <f t="shared" si="5"/>
        <v>Nov</v>
      </c>
      <c r="E120" s="24" t="s">
        <v>92</v>
      </c>
      <c r="F120" s="20" t="s">
        <v>465</v>
      </c>
      <c r="G120" s="20" t="s">
        <v>390</v>
      </c>
      <c r="H120" s="20"/>
      <c r="I120" s="4">
        <v>8000</v>
      </c>
      <c r="J120" s="4">
        <v>0</v>
      </c>
      <c r="K120" s="12" t="s">
        <v>71</v>
      </c>
      <c r="L120">
        <f t="shared" si="6"/>
        <v>1</v>
      </c>
      <c r="M120">
        <f t="shared" ca="1" si="9"/>
        <v>198</v>
      </c>
      <c r="N120" s="15">
        <f t="shared" si="7"/>
        <v>8000</v>
      </c>
      <c r="O120" t="str">
        <f t="shared" ca="1" si="8"/>
        <v>90+ Days</v>
      </c>
    </row>
    <row r="121" spans="1:15" x14ac:dyDescent="0.3">
      <c r="A121" s="6" t="s">
        <v>466</v>
      </c>
      <c r="B121" s="7" t="s">
        <v>120</v>
      </c>
      <c r="C121" s="6" t="s">
        <v>40</v>
      </c>
      <c r="D121" s="2" t="str">
        <f t="shared" si="5"/>
        <v>Apr</v>
      </c>
      <c r="E121" s="25" t="s">
        <v>240</v>
      </c>
      <c r="F121" s="21" t="s">
        <v>467</v>
      </c>
      <c r="G121" s="21" t="s">
        <v>468</v>
      </c>
      <c r="H121" s="21" t="s">
        <v>411</v>
      </c>
      <c r="I121" s="8">
        <v>20000</v>
      </c>
      <c r="J121" s="8">
        <v>20000</v>
      </c>
      <c r="K121" s="5" t="s">
        <v>17</v>
      </c>
      <c r="L121">
        <f t="shared" si="6"/>
        <v>1</v>
      </c>
      <c r="M121">
        <f t="shared" ca="1" si="9"/>
        <v>20</v>
      </c>
      <c r="N121" s="15">
        <f t="shared" si="7"/>
        <v>0</v>
      </c>
      <c r="O121" t="str">
        <f t="shared" ca="1" si="8"/>
        <v>0-30 Days</v>
      </c>
    </row>
    <row r="122" spans="1:15" x14ac:dyDescent="0.3">
      <c r="A122" s="2" t="s">
        <v>469</v>
      </c>
      <c r="B122" s="3" t="s">
        <v>415</v>
      </c>
      <c r="C122" s="2" t="s">
        <v>12</v>
      </c>
      <c r="D122" s="2" t="str">
        <f t="shared" si="5"/>
        <v>Feb</v>
      </c>
      <c r="E122" s="24" t="s">
        <v>14</v>
      </c>
      <c r="F122" s="20" t="s">
        <v>470</v>
      </c>
      <c r="G122" s="20" t="s">
        <v>161</v>
      </c>
      <c r="H122" s="20" t="s">
        <v>331</v>
      </c>
      <c r="I122" s="4">
        <v>30000</v>
      </c>
      <c r="J122" s="4">
        <v>30000</v>
      </c>
      <c r="K122" s="5" t="s">
        <v>17</v>
      </c>
      <c r="L122">
        <f t="shared" si="6"/>
        <v>3</v>
      </c>
      <c r="M122">
        <f t="shared" ca="1" si="9"/>
        <v>13</v>
      </c>
      <c r="N122" s="15">
        <f t="shared" si="7"/>
        <v>0</v>
      </c>
      <c r="O122" t="str">
        <f t="shared" ca="1" si="8"/>
        <v>0-30 Days</v>
      </c>
    </row>
    <row r="123" spans="1:15" x14ac:dyDescent="0.3">
      <c r="A123" s="6" t="s">
        <v>471</v>
      </c>
      <c r="B123" s="7" t="s">
        <v>103</v>
      </c>
      <c r="C123" s="6" t="s">
        <v>12</v>
      </c>
      <c r="D123" s="2" t="str">
        <f t="shared" si="5"/>
        <v>Jul</v>
      </c>
      <c r="E123" s="25" t="s">
        <v>69</v>
      </c>
      <c r="F123" s="21" t="s">
        <v>85</v>
      </c>
      <c r="G123" s="21" t="s">
        <v>472</v>
      </c>
      <c r="H123" s="21"/>
      <c r="I123" s="8">
        <v>15000</v>
      </c>
      <c r="J123" s="8">
        <v>0</v>
      </c>
      <c r="K123" s="12" t="s">
        <v>71</v>
      </c>
      <c r="L123">
        <f t="shared" si="6"/>
        <v>1</v>
      </c>
      <c r="M123">
        <f t="shared" ca="1" si="9"/>
        <v>342</v>
      </c>
      <c r="N123" s="15">
        <f t="shared" si="7"/>
        <v>15000</v>
      </c>
      <c r="O123" t="str">
        <f t="shared" ca="1" si="8"/>
        <v>90+ Days</v>
      </c>
    </row>
    <row r="124" spans="1:15" x14ac:dyDescent="0.3">
      <c r="A124" s="2" t="s">
        <v>473</v>
      </c>
      <c r="B124" s="3" t="s">
        <v>84</v>
      </c>
      <c r="C124" s="2" t="s">
        <v>12</v>
      </c>
      <c r="D124" s="2" t="str">
        <f t="shared" si="5"/>
        <v>Jun</v>
      </c>
      <c r="E124" s="24" t="s">
        <v>396</v>
      </c>
      <c r="F124" s="20" t="s">
        <v>474</v>
      </c>
      <c r="G124" s="20" t="s">
        <v>475</v>
      </c>
      <c r="H124" s="20" t="s">
        <v>85</v>
      </c>
      <c r="I124" s="4">
        <v>5000</v>
      </c>
      <c r="J124" s="4">
        <v>2500</v>
      </c>
      <c r="K124" s="13" t="s">
        <v>113</v>
      </c>
      <c r="L124">
        <f t="shared" si="6"/>
        <v>1</v>
      </c>
      <c r="M124">
        <f t="shared" ca="1" si="9"/>
        <v>29</v>
      </c>
      <c r="N124" s="15">
        <f t="shared" si="7"/>
        <v>2500</v>
      </c>
      <c r="O124" t="str">
        <f t="shared" ca="1" si="8"/>
        <v>0-30 Days</v>
      </c>
    </row>
    <row r="125" spans="1:15" x14ac:dyDescent="0.3">
      <c r="A125" s="6" t="s">
        <v>476</v>
      </c>
      <c r="B125" s="7" t="s">
        <v>309</v>
      </c>
      <c r="C125" s="6" t="s">
        <v>12</v>
      </c>
      <c r="D125" s="2" t="str">
        <f t="shared" si="5"/>
        <v>Apr</v>
      </c>
      <c r="E125" s="25" t="s">
        <v>477</v>
      </c>
      <c r="F125" s="21" t="s">
        <v>240</v>
      </c>
      <c r="G125" s="21" t="s">
        <v>404</v>
      </c>
      <c r="H125" s="21" t="s">
        <v>452</v>
      </c>
      <c r="I125" s="8">
        <v>40000</v>
      </c>
      <c r="J125" s="8">
        <v>40000</v>
      </c>
      <c r="K125" s="5" t="s">
        <v>17</v>
      </c>
      <c r="L125">
        <f t="shared" si="6"/>
        <v>1</v>
      </c>
      <c r="M125">
        <f t="shared" ca="1" si="9"/>
        <v>14</v>
      </c>
      <c r="N125" s="15">
        <f t="shared" si="7"/>
        <v>0</v>
      </c>
      <c r="O125" t="str">
        <f t="shared" ca="1" si="8"/>
        <v>0-30 Days</v>
      </c>
    </row>
    <row r="126" spans="1:15" x14ac:dyDescent="0.3">
      <c r="A126" s="2" t="s">
        <v>478</v>
      </c>
      <c r="B126" s="3" t="s">
        <v>90</v>
      </c>
      <c r="C126" s="2" t="s">
        <v>12</v>
      </c>
      <c r="D126" s="2" t="str">
        <f t="shared" si="5"/>
        <v>Nov</v>
      </c>
      <c r="E126" s="24" t="s">
        <v>37</v>
      </c>
      <c r="F126" s="20" t="s">
        <v>447</v>
      </c>
      <c r="G126" s="20" t="s">
        <v>74</v>
      </c>
      <c r="H126" s="20" t="s">
        <v>441</v>
      </c>
      <c r="I126" s="4">
        <v>8000</v>
      </c>
      <c r="J126" s="4">
        <v>8000</v>
      </c>
      <c r="K126" s="5" t="s">
        <v>17</v>
      </c>
      <c r="L126">
        <f t="shared" si="6"/>
        <v>1</v>
      </c>
      <c r="M126">
        <f t="shared" ca="1" si="9"/>
        <v>18</v>
      </c>
      <c r="N126" s="15">
        <f t="shared" si="7"/>
        <v>0</v>
      </c>
      <c r="O126" t="str">
        <f t="shared" ca="1" si="8"/>
        <v>0-30 Days</v>
      </c>
    </row>
    <row r="127" spans="1:15" x14ac:dyDescent="0.3">
      <c r="A127" s="6" t="s">
        <v>479</v>
      </c>
      <c r="B127" s="7" t="s">
        <v>277</v>
      </c>
      <c r="C127" s="6" t="s">
        <v>12</v>
      </c>
      <c r="D127" s="2" t="str">
        <f t="shared" si="5"/>
        <v>Jul</v>
      </c>
      <c r="E127" s="25" t="s">
        <v>85</v>
      </c>
      <c r="F127" s="21" t="s">
        <v>475</v>
      </c>
      <c r="G127" s="21" t="s">
        <v>480</v>
      </c>
      <c r="H127" s="21" t="s">
        <v>87</v>
      </c>
      <c r="I127" s="8">
        <v>45000</v>
      </c>
      <c r="J127" s="8">
        <v>45000</v>
      </c>
      <c r="K127" s="9" t="s">
        <v>45</v>
      </c>
      <c r="L127">
        <f t="shared" si="6"/>
        <v>1</v>
      </c>
      <c r="M127">
        <f t="shared" ca="1" si="9"/>
        <v>31</v>
      </c>
      <c r="N127" s="15">
        <f t="shared" si="7"/>
        <v>0</v>
      </c>
      <c r="O127" t="str">
        <f t="shared" ca="1" si="8"/>
        <v>31-60 Days</v>
      </c>
    </row>
    <row r="128" spans="1:15" x14ac:dyDescent="0.3">
      <c r="A128" s="2" t="s">
        <v>481</v>
      </c>
      <c r="B128" s="3" t="s">
        <v>482</v>
      </c>
      <c r="C128" s="2" t="s">
        <v>26</v>
      </c>
      <c r="D128" s="2" t="str">
        <f t="shared" si="5"/>
        <v>Sep</v>
      </c>
      <c r="E128" s="24" t="s">
        <v>483</v>
      </c>
      <c r="F128" s="20" t="s">
        <v>484</v>
      </c>
      <c r="G128" s="20" t="s">
        <v>243</v>
      </c>
      <c r="H128" s="20"/>
      <c r="I128" s="4">
        <v>18000</v>
      </c>
      <c r="J128" s="4">
        <v>0</v>
      </c>
      <c r="K128" s="11" t="s">
        <v>63</v>
      </c>
      <c r="L128">
        <f t="shared" si="6"/>
        <v>1</v>
      </c>
      <c r="M128">
        <f t="shared" ca="1" si="9"/>
        <v>280</v>
      </c>
      <c r="N128" s="15">
        <f t="shared" si="7"/>
        <v>18000</v>
      </c>
      <c r="O128" t="str">
        <f t="shared" ca="1" si="8"/>
        <v>90+ Days</v>
      </c>
    </row>
    <row r="129" spans="1:15" x14ac:dyDescent="0.3">
      <c r="A129" s="6" t="s">
        <v>485</v>
      </c>
      <c r="B129" s="7" t="s">
        <v>11</v>
      </c>
      <c r="C129" s="6" t="s">
        <v>12</v>
      </c>
      <c r="D129" s="2" t="str">
        <f t="shared" si="5"/>
        <v>Aug</v>
      </c>
      <c r="E129" s="25" t="s">
        <v>60</v>
      </c>
      <c r="F129" s="21" t="s">
        <v>61</v>
      </c>
      <c r="G129" s="21" t="s">
        <v>62</v>
      </c>
      <c r="H129" s="21" t="s">
        <v>118</v>
      </c>
      <c r="I129" s="8">
        <v>20000</v>
      </c>
      <c r="J129" s="8">
        <v>20000</v>
      </c>
      <c r="K129" s="5" t="s">
        <v>17</v>
      </c>
      <c r="L129">
        <f t="shared" si="6"/>
        <v>3</v>
      </c>
      <c r="M129">
        <f t="shared" ca="1" si="9"/>
        <v>28</v>
      </c>
      <c r="N129" s="15">
        <f t="shared" si="7"/>
        <v>0</v>
      </c>
      <c r="O129" t="str">
        <f t="shared" ca="1" si="8"/>
        <v>0-30 Days</v>
      </c>
    </row>
    <row r="130" spans="1:15" x14ac:dyDescent="0.3">
      <c r="A130" s="2" t="s">
        <v>486</v>
      </c>
      <c r="B130" s="3" t="s">
        <v>487</v>
      </c>
      <c r="C130" s="2" t="s">
        <v>33</v>
      </c>
      <c r="D130" s="2" t="str">
        <f t="shared" si="5"/>
        <v>Nov</v>
      </c>
      <c r="E130" s="24" t="s">
        <v>465</v>
      </c>
      <c r="F130" s="20" t="s">
        <v>270</v>
      </c>
      <c r="G130" s="20" t="s">
        <v>138</v>
      </c>
      <c r="H130" s="20"/>
      <c r="I130" s="4">
        <v>55000</v>
      </c>
      <c r="J130" s="4">
        <v>0</v>
      </c>
      <c r="K130" s="12" t="s">
        <v>71</v>
      </c>
      <c r="L130">
        <f t="shared" si="6"/>
        <v>2</v>
      </c>
      <c r="M130">
        <f t="shared" ca="1" si="9"/>
        <v>196</v>
      </c>
      <c r="N130" s="15">
        <f t="shared" si="7"/>
        <v>55000</v>
      </c>
      <c r="O130" t="str">
        <f t="shared" ca="1" si="8"/>
        <v>90+ Days</v>
      </c>
    </row>
    <row r="131" spans="1:15" x14ac:dyDescent="0.3">
      <c r="A131" s="6" t="s">
        <v>488</v>
      </c>
      <c r="B131" s="7" t="s">
        <v>489</v>
      </c>
      <c r="C131" s="6" t="s">
        <v>40</v>
      </c>
      <c r="D131" s="2" t="str">
        <f t="shared" ref="D131:D194" si="10">MID(E131, 4, 3)</f>
        <v>Aug</v>
      </c>
      <c r="E131" s="25" t="s">
        <v>195</v>
      </c>
      <c r="F131" s="21" t="s">
        <v>320</v>
      </c>
      <c r="G131" s="21" t="s">
        <v>490</v>
      </c>
      <c r="H131" s="21" t="s">
        <v>61</v>
      </c>
      <c r="I131" s="8">
        <v>50000</v>
      </c>
      <c r="J131" s="8">
        <v>50000</v>
      </c>
      <c r="K131" s="5" t="s">
        <v>17</v>
      </c>
      <c r="L131">
        <f t="shared" ref="L131:L194" si="11">F131-E131</f>
        <v>3</v>
      </c>
      <c r="M131">
        <f t="shared" ca="1" si="9"/>
        <v>12</v>
      </c>
      <c r="N131" s="15">
        <f t="shared" ref="N131:N194" si="12">I131-J131</f>
        <v>0</v>
      </c>
      <c r="O131" t="str">
        <f t="shared" ref="O131:O194" ca="1" si="13">IF(M131&lt;=30,"0-30 Days",
IF(M131&lt;=60,"31-60 Days",
IF(M131&lt;=90,"61-90 Days","90+ Days")))</f>
        <v>0-30 Days</v>
      </c>
    </row>
    <row r="132" spans="1:15" x14ac:dyDescent="0.3">
      <c r="A132" s="2" t="s">
        <v>491</v>
      </c>
      <c r="B132" s="3" t="s">
        <v>492</v>
      </c>
      <c r="C132" s="2" t="s">
        <v>26</v>
      </c>
      <c r="D132" s="2" t="str">
        <f t="shared" si="10"/>
        <v>May</v>
      </c>
      <c r="E132" s="24" t="s">
        <v>41</v>
      </c>
      <c r="F132" s="20" t="s">
        <v>426</v>
      </c>
      <c r="G132" s="20" t="s">
        <v>427</v>
      </c>
      <c r="H132" s="20"/>
      <c r="I132" s="4">
        <v>40000</v>
      </c>
      <c r="J132" s="4">
        <v>0</v>
      </c>
      <c r="K132" s="12" t="s">
        <v>71</v>
      </c>
      <c r="L132">
        <f t="shared" si="11"/>
        <v>2</v>
      </c>
      <c r="M132">
        <f t="shared" ref="M132:M195" ca="1" si="14">IF(H132="",TODAY()-F132,H132-F132)</f>
        <v>387</v>
      </c>
      <c r="N132" s="15">
        <f t="shared" si="12"/>
        <v>40000</v>
      </c>
      <c r="O132" t="str">
        <f t="shared" ca="1" si="13"/>
        <v>90+ Days</v>
      </c>
    </row>
    <row r="133" spans="1:15" x14ac:dyDescent="0.3">
      <c r="A133" s="6" t="s">
        <v>493</v>
      </c>
      <c r="B133" s="7" t="s">
        <v>494</v>
      </c>
      <c r="C133" s="6" t="s">
        <v>12</v>
      </c>
      <c r="D133" s="2" t="str">
        <f t="shared" si="10"/>
        <v>Nov</v>
      </c>
      <c r="E133" s="25" t="s">
        <v>245</v>
      </c>
      <c r="F133" s="21" t="s">
        <v>495</v>
      </c>
      <c r="G133" s="21" t="s">
        <v>282</v>
      </c>
      <c r="H133" s="21" t="s">
        <v>270</v>
      </c>
      <c r="I133" s="8">
        <v>12000</v>
      </c>
      <c r="J133" s="8">
        <v>12000</v>
      </c>
      <c r="K133" s="5" t="s">
        <v>17</v>
      </c>
      <c r="L133">
        <f t="shared" si="11"/>
        <v>3</v>
      </c>
      <c r="M133">
        <f t="shared" ca="1" si="14"/>
        <v>20</v>
      </c>
      <c r="N133" s="15">
        <f t="shared" si="12"/>
        <v>0</v>
      </c>
      <c r="O133" t="str">
        <f t="shared" ca="1" si="13"/>
        <v>0-30 Days</v>
      </c>
    </row>
    <row r="134" spans="1:15" x14ac:dyDescent="0.3">
      <c r="A134" s="2" t="s">
        <v>496</v>
      </c>
      <c r="B134" s="3" t="s">
        <v>497</v>
      </c>
      <c r="C134" s="2" t="s">
        <v>33</v>
      </c>
      <c r="D134" s="2" t="str">
        <f t="shared" si="10"/>
        <v>Apr</v>
      </c>
      <c r="E134" s="24" t="s">
        <v>237</v>
      </c>
      <c r="F134" s="20" t="s">
        <v>238</v>
      </c>
      <c r="G134" s="20" t="s">
        <v>239</v>
      </c>
      <c r="H134" s="20" t="s">
        <v>498</v>
      </c>
      <c r="I134" s="4">
        <v>30000</v>
      </c>
      <c r="J134" s="4">
        <v>30000</v>
      </c>
      <c r="K134" s="5" t="s">
        <v>17</v>
      </c>
      <c r="L134">
        <f t="shared" si="11"/>
        <v>2</v>
      </c>
      <c r="M134">
        <f t="shared" ca="1" si="14"/>
        <v>13</v>
      </c>
      <c r="N134" s="15">
        <f t="shared" si="12"/>
        <v>0</v>
      </c>
      <c r="O134" t="str">
        <f t="shared" ca="1" si="13"/>
        <v>0-30 Days</v>
      </c>
    </row>
    <row r="135" spans="1:15" x14ac:dyDescent="0.3">
      <c r="A135" s="6" t="s">
        <v>499</v>
      </c>
      <c r="B135" s="7" t="s">
        <v>500</v>
      </c>
      <c r="C135" s="6" t="s">
        <v>12</v>
      </c>
      <c r="D135" s="2" t="str">
        <f t="shared" si="10"/>
        <v>May</v>
      </c>
      <c r="E135" s="25" t="s">
        <v>42</v>
      </c>
      <c r="F135" s="21" t="s">
        <v>385</v>
      </c>
      <c r="G135" s="21" t="s">
        <v>311</v>
      </c>
      <c r="H135" s="21" t="s">
        <v>194</v>
      </c>
      <c r="I135" s="8">
        <v>50000</v>
      </c>
      <c r="J135" s="8">
        <v>50000</v>
      </c>
      <c r="K135" s="9" t="s">
        <v>45</v>
      </c>
      <c r="L135">
        <f t="shared" si="11"/>
        <v>3</v>
      </c>
      <c r="M135">
        <f t="shared" ca="1" si="14"/>
        <v>47</v>
      </c>
      <c r="N135" s="15">
        <f t="shared" si="12"/>
        <v>0</v>
      </c>
      <c r="O135" t="str">
        <f t="shared" ca="1" si="13"/>
        <v>31-60 Days</v>
      </c>
    </row>
    <row r="136" spans="1:15" x14ac:dyDescent="0.3">
      <c r="A136" s="2" t="s">
        <v>501</v>
      </c>
      <c r="B136" s="3" t="s">
        <v>365</v>
      </c>
      <c r="C136" s="2" t="s">
        <v>40</v>
      </c>
      <c r="D136" s="2" t="str">
        <f t="shared" si="10"/>
        <v>Feb</v>
      </c>
      <c r="E136" s="24" t="s">
        <v>66</v>
      </c>
      <c r="F136" s="20" t="s">
        <v>502</v>
      </c>
      <c r="G136" s="20" t="s">
        <v>331</v>
      </c>
      <c r="H136" s="20" t="s">
        <v>503</v>
      </c>
      <c r="I136" s="4">
        <v>18000</v>
      </c>
      <c r="J136" s="4">
        <v>18000</v>
      </c>
      <c r="K136" s="5" t="s">
        <v>17</v>
      </c>
      <c r="L136">
        <f t="shared" si="11"/>
        <v>1</v>
      </c>
      <c r="M136">
        <f t="shared" ca="1" si="14"/>
        <v>12</v>
      </c>
      <c r="N136" s="15">
        <f t="shared" si="12"/>
        <v>0</v>
      </c>
      <c r="O136" t="str">
        <f t="shared" ca="1" si="13"/>
        <v>0-30 Days</v>
      </c>
    </row>
    <row r="137" spans="1:15" x14ac:dyDescent="0.3">
      <c r="A137" s="6" t="s">
        <v>504</v>
      </c>
      <c r="B137" s="7" t="s">
        <v>434</v>
      </c>
      <c r="C137" s="6" t="s">
        <v>12</v>
      </c>
      <c r="D137" s="2" t="str">
        <f t="shared" si="10"/>
        <v>Sep</v>
      </c>
      <c r="E137" s="25" t="s">
        <v>341</v>
      </c>
      <c r="F137" s="21" t="s">
        <v>399</v>
      </c>
      <c r="G137" s="21" t="s">
        <v>400</v>
      </c>
      <c r="H137" s="21" t="s">
        <v>484</v>
      </c>
      <c r="I137" s="8">
        <v>35000</v>
      </c>
      <c r="J137" s="8">
        <v>35000</v>
      </c>
      <c r="K137" s="5" t="s">
        <v>17</v>
      </c>
      <c r="L137">
        <f t="shared" si="11"/>
        <v>3</v>
      </c>
      <c r="M137">
        <f t="shared" ca="1" si="14"/>
        <v>5</v>
      </c>
      <c r="N137" s="15">
        <f t="shared" si="12"/>
        <v>0</v>
      </c>
      <c r="O137" t="str">
        <f t="shared" ca="1" si="13"/>
        <v>0-30 Days</v>
      </c>
    </row>
    <row r="138" spans="1:15" x14ac:dyDescent="0.3">
      <c r="A138" s="2" t="s">
        <v>505</v>
      </c>
      <c r="B138" s="3" t="s">
        <v>492</v>
      </c>
      <c r="C138" s="2" t="s">
        <v>26</v>
      </c>
      <c r="D138" s="2" t="str">
        <f t="shared" si="10"/>
        <v>May</v>
      </c>
      <c r="E138" s="24" t="s">
        <v>506</v>
      </c>
      <c r="F138" s="20" t="s">
        <v>507</v>
      </c>
      <c r="G138" s="20" t="s">
        <v>178</v>
      </c>
      <c r="H138" s="20" t="s">
        <v>86</v>
      </c>
      <c r="I138" s="4">
        <v>12000</v>
      </c>
      <c r="J138" s="4">
        <v>12000</v>
      </c>
      <c r="K138" s="9" t="s">
        <v>45</v>
      </c>
      <c r="L138">
        <f t="shared" si="11"/>
        <v>1</v>
      </c>
      <c r="M138">
        <f t="shared" ca="1" si="14"/>
        <v>40</v>
      </c>
      <c r="N138" s="15">
        <f t="shared" si="12"/>
        <v>0</v>
      </c>
      <c r="O138" t="str">
        <f t="shared" ca="1" si="13"/>
        <v>31-60 Days</v>
      </c>
    </row>
    <row r="139" spans="1:15" x14ac:dyDescent="0.3">
      <c r="A139" s="6" t="s">
        <v>508</v>
      </c>
      <c r="B139" s="7" t="s">
        <v>277</v>
      </c>
      <c r="C139" s="6" t="s">
        <v>12</v>
      </c>
      <c r="D139" s="2" t="str">
        <f t="shared" si="10"/>
        <v>Oct</v>
      </c>
      <c r="E139" s="25" t="s">
        <v>327</v>
      </c>
      <c r="F139" s="21" t="s">
        <v>274</v>
      </c>
      <c r="G139" s="21" t="s">
        <v>142</v>
      </c>
      <c r="H139" s="21" t="s">
        <v>509</v>
      </c>
      <c r="I139" s="8">
        <v>35000</v>
      </c>
      <c r="J139" s="8">
        <v>35000</v>
      </c>
      <c r="K139" s="9" t="s">
        <v>45</v>
      </c>
      <c r="L139">
        <f t="shared" si="11"/>
        <v>2</v>
      </c>
      <c r="M139">
        <f t="shared" ca="1" si="14"/>
        <v>42</v>
      </c>
      <c r="N139" s="15">
        <f t="shared" si="12"/>
        <v>0</v>
      </c>
      <c r="O139" t="str">
        <f t="shared" ca="1" si="13"/>
        <v>31-60 Days</v>
      </c>
    </row>
    <row r="140" spans="1:15" x14ac:dyDescent="0.3">
      <c r="A140" s="2" t="s">
        <v>510</v>
      </c>
      <c r="B140" s="3" t="s">
        <v>124</v>
      </c>
      <c r="C140" s="2" t="s">
        <v>12</v>
      </c>
      <c r="D140" s="2" t="str">
        <f t="shared" si="10"/>
        <v>Oct</v>
      </c>
      <c r="E140" s="24" t="s">
        <v>243</v>
      </c>
      <c r="F140" s="20" t="s">
        <v>133</v>
      </c>
      <c r="G140" s="20" t="s">
        <v>326</v>
      </c>
      <c r="H140" s="20"/>
      <c r="I140" s="4">
        <v>100000</v>
      </c>
      <c r="J140" s="4">
        <v>0</v>
      </c>
      <c r="K140" s="12" t="s">
        <v>71</v>
      </c>
      <c r="L140">
        <f t="shared" si="11"/>
        <v>2</v>
      </c>
      <c r="M140">
        <f t="shared" ca="1" si="14"/>
        <v>248</v>
      </c>
      <c r="N140" s="15">
        <f t="shared" si="12"/>
        <v>100000</v>
      </c>
      <c r="O140" t="str">
        <f t="shared" ca="1" si="13"/>
        <v>90+ Days</v>
      </c>
    </row>
    <row r="141" spans="1:15" x14ac:dyDescent="0.3">
      <c r="A141" s="6" t="s">
        <v>511</v>
      </c>
      <c r="B141" s="7" t="s">
        <v>512</v>
      </c>
      <c r="C141" s="6" t="s">
        <v>12</v>
      </c>
      <c r="D141" s="2" t="str">
        <f t="shared" si="10"/>
        <v>Jun</v>
      </c>
      <c r="E141" s="25" t="s">
        <v>295</v>
      </c>
      <c r="F141" s="21" t="s">
        <v>177</v>
      </c>
      <c r="G141" s="21" t="s">
        <v>69</v>
      </c>
      <c r="H141" s="21" t="s">
        <v>153</v>
      </c>
      <c r="I141" s="8">
        <v>40000</v>
      </c>
      <c r="J141" s="8">
        <v>40000</v>
      </c>
      <c r="K141" s="5" t="s">
        <v>17</v>
      </c>
      <c r="L141">
        <f t="shared" si="11"/>
        <v>2</v>
      </c>
      <c r="M141">
        <f t="shared" ca="1" si="14"/>
        <v>11</v>
      </c>
      <c r="N141" s="15">
        <f t="shared" si="12"/>
        <v>0</v>
      </c>
      <c r="O141" t="str">
        <f t="shared" ca="1" si="13"/>
        <v>0-30 Days</v>
      </c>
    </row>
    <row r="142" spans="1:15" x14ac:dyDescent="0.3">
      <c r="A142" s="2" t="s">
        <v>513</v>
      </c>
      <c r="B142" s="3" t="s">
        <v>431</v>
      </c>
      <c r="C142" s="2" t="s">
        <v>12</v>
      </c>
      <c r="D142" s="2" t="str">
        <f t="shared" si="10"/>
        <v>Mar</v>
      </c>
      <c r="E142" s="24" t="s">
        <v>470</v>
      </c>
      <c r="F142" s="20" t="s">
        <v>201</v>
      </c>
      <c r="G142" s="20" t="s">
        <v>162</v>
      </c>
      <c r="H142" s="20"/>
      <c r="I142" s="4">
        <v>55000</v>
      </c>
      <c r="J142" s="4">
        <v>0</v>
      </c>
      <c r="K142" s="11" t="s">
        <v>63</v>
      </c>
      <c r="L142">
        <f t="shared" si="11"/>
        <v>3</v>
      </c>
      <c r="M142">
        <f t="shared" ca="1" si="14"/>
        <v>467</v>
      </c>
      <c r="N142" s="15">
        <f t="shared" si="12"/>
        <v>55000</v>
      </c>
      <c r="O142" t="str">
        <f t="shared" ca="1" si="13"/>
        <v>90+ Days</v>
      </c>
    </row>
    <row r="143" spans="1:15" x14ac:dyDescent="0.3">
      <c r="A143" s="6" t="s">
        <v>514</v>
      </c>
      <c r="B143" s="7" t="s">
        <v>434</v>
      </c>
      <c r="C143" s="6" t="s">
        <v>12</v>
      </c>
      <c r="D143" s="2" t="str">
        <f t="shared" si="10"/>
        <v>Apr</v>
      </c>
      <c r="E143" s="25" t="s">
        <v>162</v>
      </c>
      <c r="F143" s="21" t="s">
        <v>238</v>
      </c>
      <c r="G143" s="21" t="s">
        <v>239</v>
      </c>
      <c r="H143" s="21"/>
      <c r="I143" s="8">
        <v>30000</v>
      </c>
      <c r="J143" s="8">
        <v>0</v>
      </c>
      <c r="K143" s="12" t="s">
        <v>71</v>
      </c>
      <c r="L143">
        <f t="shared" si="11"/>
        <v>1</v>
      </c>
      <c r="M143">
        <f t="shared" ca="1" si="14"/>
        <v>436</v>
      </c>
      <c r="N143" s="15">
        <f t="shared" si="12"/>
        <v>30000</v>
      </c>
      <c r="O143" t="str">
        <f t="shared" ca="1" si="13"/>
        <v>90+ Days</v>
      </c>
    </row>
    <row r="144" spans="1:15" x14ac:dyDescent="0.3">
      <c r="A144" s="2" t="s">
        <v>515</v>
      </c>
      <c r="B144" s="3" t="s">
        <v>47</v>
      </c>
      <c r="C144" s="2" t="s">
        <v>40</v>
      </c>
      <c r="D144" s="2" t="str">
        <f t="shared" si="10"/>
        <v>Oct</v>
      </c>
      <c r="E144" s="24" t="s">
        <v>215</v>
      </c>
      <c r="F144" s="20" t="s">
        <v>269</v>
      </c>
      <c r="G144" s="20" t="s">
        <v>301</v>
      </c>
      <c r="H144" s="20"/>
      <c r="I144" s="4">
        <v>60000</v>
      </c>
      <c r="J144" s="4">
        <v>0</v>
      </c>
      <c r="K144" s="11" t="s">
        <v>63</v>
      </c>
      <c r="L144">
        <f t="shared" si="11"/>
        <v>3</v>
      </c>
      <c r="M144">
        <f t="shared" ca="1" si="14"/>
        <v>227</v>
      </c>
      <c r="N144" s="15">
        <f t="shared" si="12"/>
        <v>60000</v>
      </c>
      <c r="O144" t="str">
        <f t="shared" ca="1" si="13"/>
        <v>90+ Days</v>
      </c>
    </row>
    <row r="145" spans="1:15" x14ac:dyDescent="0.3">
      <c r="A145" s="6" t="s">
        <v>516</v>
      </c>
      <c r="B145" s="7" t="s">
        <v>365</v>
      </c>
      <c r="C145" s="6" t="s">
        <v>40</v>
      </c>
      <c r="D145" s="2" t="str">
        <f t="shared" si="10"/>
        <v>Jun</v>
      </c>
      <c r="E145" s="25" t="s">
        <v>507</v>
      </c>
      <c r="F145" s="21" t="s">
        <v>517</v>
      </c>
      <c r="G145" s="21" t="s">
        <v>354</v>
      </c>
      <c r="H145" s="21" t="s">
        <v>154</v>
      </c>
      <c r="I145" s="8">
        <v>100000</v>
      </c>
      <c r="J145" s="8">
        <v>100000</v>
      </c>
      <c r="K145" s="5" t="s">
        <v>17</v>
      </c>
      <c r="L145">
        <f t="shared" si="11"/>
        <v>1</v>
      </c>
      <c r="M145">
        <f t="shared" ca="1" si="14"/>
        <v>5</v>
      </c>
      <c r="N145" s="15">
        <f t="shared" si="12"/>
        <v>0</v>
      </c>
      <c r="O145" t="str">
        <f t="shared" ca="1" si="13"/>
        <v>0-30 Days</v>
      </c>
    </row>
    <row r="146" spans="1:15" x14ac:dyDescent="0.3">
      <c r="A146" s="2" t="s">
        <v>518</v>
      </c>
      <c r="B146" s="3" t="s">
        <v>519</v>
      </c>
      <c r="C146" s="2" t="s">
        <v>12</v>
      </c>
      <c r="D146" s="2" t="str">
        <f t="shared" si="10"/>
        <v>Oct</v>
      </c>
      <c r="E146" s="24" t="s">
        <v>183</v>
      </c>
      <c r="F146" s="20" t="s">
        <v>416</v>
      </c>
      <c r="G146" s="20" t="s">
        <v>269</v>
      </c>
      <c r="H146" s="20" t="s">
        <v>174</v>
      </c>
      <c r="I146" s="4">
        <v>50000</v>
      </c>
      <c r="J146" s="4">
        <v>50000</v>
      </c>
      <c r="K146" s="5" t="s">
        <v>17</v>
      </c>
      <c r="L146">
        <f t="shared" si="11"/>
        <v>1</v>
      </c>
      <c r="M146">
        <f t="shared" ca="1" si="14"/>
        <v>6</v>
      </c>
      <c r="N146" s="15">
        <f t="shared" si="12"/>
        <v>0</v>
      </c>
      <c r="O146" t="str">
        <f t="shared" ca="1" si="13"/>
        <v>0-30 Days</v>
      </c>
    </row>
    <row r="147" spans="1:15" x14ac:dyDescent="0.3">
      <c r="A147" s="6" t="s">
        <v>520</v>
      </c>
      <c r="B147" s="7" t="s">
        <v>521</v>
      </c>
      <c r="C147" s="6" t="s">
        <v>33</v>
      </c>
      <c r="D147" s="2" t="str">
        <f t="shared" si="10"/>
        <v>May</v>
      </c>
      <c r="E147" s="25" t="s">
        <v>522</v>
      </c>
      <c r="F147" s="21" t="s">
        <v>517</v>
      </c>
      <c r="G147" s="21" t="s">
        <v>354</v>
      </c>
      <c r="H147" s="21" t="s">
        <v>523</v>
      </c>
      <c r="I147" s="8">
        <v>20000</v>
      </c>
      <c r="J147" s="8">
        <v>20000</v>
      </c>
      <c r="K147" s="9" t="s">
        <v>45</v>
      </c>
      <c r="L147">
        <f t="shared" si="11"/>
        <v>3</v>
      </c>
      <c r="M147">
        <f t="shared" ca="1" si="14"/>
        <v>55</v>
      </c>
      <c r="N147" s="15">
        <f t="shared" si="12"/>
        <v>0</v>
      </c>
      <c r="O147" t="str">
        <f t="shared" ca="1" si="13"/>
        <v>31-60 Days</v>
      </c>
    </row>
    <row r="148" spans="1:15" x14ac:dyDescent="0.3">
      <c r="A148" s="2" t="s">
        <v>524</v>
      </c>
      <c r="B148" s="3" t="s">
        <v>449</v>
      </c>
      <c r="C148" s="2" t="s">
        <v>12</v>
      </c>
      <c r="D148" s="2" t="str">
        <f t="shared" si="10"/>
        <v>Feb</v>
      </c>
      <c r="E148" s="24" t="s">
        <v>20</v>
      </c>
      <c r="F148" s="20" t="s">
        <v>80</v>
      </c>
      <c r="G148" s="20" t="s">
        <v>81</v>
      </c>
      <c r="H148" s="20" t="s">
        <v>202</v>
      </c>
      <c r="I148" s="4">
        <v>60000</v>
      </c>
      <c r="J148" s="4">
        <v>60000</v>
      </c>
      <c r="K148" s="5" t="s">
        <v>17</v>
      </c>
      <c r="L148">
        <f t="shared" si="11"/>
        <v>1</v>
      </c>
      <c r="M148">
        <f t="shared" ca="1" si="14"/>
        <v>19</v>
      </c>
      <c r="N148" s="15">
        <f t="shared" si="12"/>
        <v>0</v>
      </c>
      <c r="O148" t="str">
        <f t="shared" ca="1" si="13"/>
        <v>0-30 Days</v>
      </c>
    </row>
    <row r="149" spans="1:15" x14ac:dyDescent="0.3">
      <c r="A149" s="6" t="s">
        <v>525</v>
      </c>
      <c r="B149" s="7" t="s">
        <v>500</v>
      </c>
      <c r="C149" s="6" t="s">
        <v>12</v>
      </c>
      <c r="D149" s="2" t="str">
        <f t="shared" si="10"/>
        <v>Apr</v>
      </c>
      <c r="E149" s="25" t="s">
        <v>162</v>
      </c>
      <c r="F149" s="21" t="s">
        <v>238</v>
      </c>
      <c r="G149" s="21" t="s">
        <v>239</v>
      </c>
      <c r="H149" s="21"/>
      <c r="I149" s="8">
        <v>50000</v>
      </c>
      <c r="J149" s="8">
        <v>0</v>
      </c>
      <c r="K149" s="11" t="s">
        <v>63</v>
      </c>
      <c r="L149">
        <f t="shared" si="11"/>
        <v>1</v>
      </c>
      <c r="M149">
        <f t="shared" ca="1" si="14"/>
        <v>436</v>
      </c>
      <c r="N149" s="15">
        <f t="shared" si="12"/>
        <v>50000</v>
      </c>
      <c r="O149" t="str">
        <f t="shared" ca="1" si="13"/>
        <v>90+ Days</v>
      </c>
    </row>
    <row r="150" spans="1:15" x14ac:dyDescent="0.3">
      <c r="A150" s="2" t="s">
        <v>526</v>
      </c>
      <c r="B150" s="3" t="s">
        <v>527</v>
      </c>
      <c r="C150" s="2" t="s">
        <v>12</v>
      </c>
      <c r="D150" s="2" t="str">
        <f t="shared" si="10"/>
        <v>Feb</v>
      </c>
      <c r="E150" s="24" t="s">
        <v>14</v>
      </c>
      <c r="F150" s="20" t="s">
        <v>106</v>
      </c>
      <c r="G150" s="20" t="s">
        <v>381</v>
      </c>
      <c r="H150" s="20" t="s">
        <v>298</v>
      </c>
      <c r="I150" s="4">
        <v>12000</v>
      </c>
      <c r="J150" s="4">
        <v>12000</v>
      </c>
      <c r="K150" s="5" t="s">
        <v>17</v>
      </c>
      <c r="L150">
        <f t="shared" si="11"/>
        <v>1</v>
      </c>
      <c r="M150">
        <f t="shared" ca="1" si="14"/>
        <v>23</v>
      </c>
      <c r="N150" s="15">
        <f t="shared" si="12"/>
        <v>0</v>
      </c>
      <c r="O150" t="str">
        <f t="shared" ca="1" si="13"/>
        <v>0-30 Days</v>
      </c>
    </row>
    <row r="151" spans="1:15" x14ac:dyDescent="0.3">
      <c r="A151" s="6" t="s">
        <v>528</v>
      </c>
      <c r="B151" s="7" t="s">
        <v>529</v>
      </c>
      <c r="C151" s="6" t="s">
        <v>12</v>
      </c>
      <c r="D151" s="2" t="str">
        <f t="shared" si="10"/>
        <v>Dec</v>
      </c>
      <c r="E151" s="25" t="s">
        <v>146</v>
      </c>
      <c r="F151" s="21" t="s">
        <v>98</v>
      </c>
      <c r="G151" s="21" t="s">
        <v>530</v>
      </c>
      <c r="H151" s="21" t="s">
        <v>283</v>
      </c>
      <c r="I151" s="8">
        <v>20000</v>
      </c>
      <c r="J151" s="8">
        <v>20000</v>
      </c>
      <c r="K151" s="5" t="s">
        <v>17</v>
      </c>
      <c r="L151">
        <f t="shared" si="11"/>
        <v>1</v>
      </c>
      <c r="M151">
        <f t="shared" ca="1" si="14"/>
        <v>23</v>
      </c>
      <c r="N151" s="15">
        <f t="shared" si="12"/>
        <v>0</v>
      </c>
      <c r="O151" t="str">
        <f t="shared" ca="1" si="13"/>
        <v>0-30 Days</v>
      </c>
    </row>
    <row r="152" spans="1:15" x14ac:dyDescent="0.3">
      <c r="A152" s="2" t="s">
        <v>531</v>
      </c>
      <c r="B152" s="3" t="s">
        <v>165</v>
      </c>
      <c r="C152" s="2" t="s">
        <v>26</v>
      </c>
      <c r="D152" s="2" t="str">
        <f t="shared" si="10"/>
        <v>Feb</v>
      </c>
      <c r="E152" s="24" t="s">
        <v>66</v>
      </c>
      <c r="F152" s="20" t="s">
        <v>502</v>
      </c>
      <c r="G152" s="20" t="s">
        <v>331</v>
      </c>
      <c r="H152" s="20" t="s">
        <v>15</v>
      </c>
      <c r="I152" s="4">
        <v>15000</v>
      </c>
      <c r="J152" s="4">
        <v>15000</v>
      </c>
      <c r="K152" s="9" t="s">
        <v>45</v>
      </c>
      <c r="L152">
        <f t="shared" si="11"/>
        <v>1</v>
      </c>
      <c r="M152">
        <f t="shared" ca="1" si="14"/>
        <v>44</v>
      </c>
      <c r="N152" s="15">
        <f t="shared" si="12"/>
        <v>0</v>
      </c>
      <c r="O152" t="str">
        <f t="shared" ca="1" si="13"/>
        <v>31-60 Days</v>
      </c>
    </row>
    <row r="153" spans="1:15" x14ac:dyDescent="0.3">
      <c r="A153" s="6" t="s">
        <v>532</v>
      </c>
      <c r="B153" s="7" t="s">
        <v>389</v>
      </c>
      <c r="C153" s="6" t="s">
        <v>12</v>
      </c>
      <c r="D153" s="2" t="str">
        <f t="shared" si="10"/>
        <v>Nov</v>
      </c>
      <c r="E153" s="25" t="s">
        <v>140</v>
      </c>
      <c r="F153" s="21" t="s">
        <v>447</v>
      </c>
      <c r="G153" s="21" t="s">
        <v>74</v>
      </c>
      <c r="H153" s="21"/>
      <c r="I153" s="8">
        <v>40000</v>
      </c>
      <c r="J153" s="8">
        <v>0</v>
      </c>
      <c r="K153" s="12" t="s">
        <v>71</v>
      </c>
      <c r="L153">
        <f t="shared" si="11"/>
        <v>3</v>
      </c>
      <c r="M153">
        <f t="shared" ca="1" si="14"/>
        <v>223</v>
      </c>
      <c r="N153" s="15">
        <f t="shared" si="12"/>
        <v>40000</v>
      </c>
      <c r="O153" t="str">
        <f t="shared" ca="1" si="13"/>
        <v>90+ Days</v>
      </c>
    </row>
    <row r="154" spans="1:15" x14ac:dyDescent="0.3">
      <c r="A154" s="2" t="s">
        <v>533</v>
      </c>
      <c r="B154" s="3" t="s">
        <v>65</v>
      </c>
      <c r="C154" s="2" t="s">
        <v>12</v>
      </c>
      <c r="D154" s="2" t="str">
        <f t="shared" si="10"/>
        <v>Aug</v>
      </c>
      <c r="E154" s="24" t="s">
        <v>534</v>
      </c>
      <c r="F154" s="20" t="s">
        <v>156</v>
      </c>
      <c r="G154" s="20" t="s">
        <v>535</v>
      </c>
      <c r="H154" s="20"/>
      <c r="I154" s="4">
        <v>60000</v>
      </c>
      <c r="J154" s="4">
        <v>0</v>
      </c>
      <c r="K154" s="10" t="s">
        <v>57</v>
      </c>
      <c r="L154">
        <f t="shared" si="11"/>
        <v>2</v>
      </c>
      <c r="M154">
        <f t="shared" ca="1" si="14"/>
        <v>299</v>
      </c>
      <c r="N154" s="15">
        <f t="shared" si="12"/>
        <v>60000</v>
      </c>
      <c r="O154" t="str">
        <f t="shared" ca="1" si="13"/>
        <v>90+ Days</v>
      </c>
    </row>
    <row r="155" spans="1:15" x14ac:dyDescent="0.3">
      <c r="A155" s="6" t="s">
        <v>536</v>
      </c>
      <c r="B155" s="7" t="s">
        <v>124</v>
      </c>
      <c r="C155" s="6" t="s">
        <v>12</v>
      </c>
      <c r="D155" s="2" t="str">
        <f t="shared" si="10"/>
        <v>Jun</v>
      </c>
      <c r="E155" s="25" t="s">
        <v>295</v>
      </c>
      <c r="F155" s="21" t="s">
        <v>396</v>
      </c>
      <c r="G155" s="21" t="s">
        <v>85</v>
      </c>
      <c r="H155" s="21" t="s">
        <v>340</v>
      </c>
      <c r="I155" s="8">
        <v>8000</v>
      </c>
      <c r="J155" s="8">
        <v>8000</v>
      </c>
      <c r="K155" s="9" t="s">
        <v>45</v>
      </c>
      <c r="L155">
        <f t="shared" si="11"/>
        <v>3</v>
      </c>
      <c r="M155">
        <f t="shared" ca="1" si="14"/>
        <v>54</v>
      </c>
      <c r="N155" s="15">
        <f t="shared" si="12"/>
        <v>0</v>
      </c>
      <c r="O155" t="str">
        <f t="shared" ca="1" si="13"/>
        <v>31-60 Days</v>
      </c>
    </row>
    <row r="156" spans="1:15" x14ac:dyDescent="0.3">
      <c r="A156" s="2" t="s">
        <v>537</v>
      </c>
      <c r="B156" s="3" t="s">
        <v>53</v>
      </c>
      <c r="C156" s="2" t="s">
        <v>40</v>
      </c>
      <c r="D156" s="2" t="str">
        <f t="shared" si="10"/>
        <v>Apr</v>
      </c>
      <c r="E156" s="24" t="s">
        <v>538</v>
      </c>
      <c r="F156" s="20" t="s">
        <v>539</v>
      </c>
      <c r="G156" s="20" t="s">
        <v>152</v>
      </c>
      <c r="H156" s="20" t="s">
        <v>452</v>
      </c>
      <c r="I156" s="4">
        <v>30000</v>
      </c>
      <c r="J156" s="4">
        <v>30000</v>
      </c>
      <c r="K156" s="5" t="s">
        <v>17</v>
      </c>
      <c r="L156">
        <f t="shared" si="11"/>
        <v>3</v>
      </c>
      <c r="M156">
        <f t="shared" ca="1" si="14"/>
        <v>7</v>
      </c>
      <c r="N156" s="15">
        <f t="shared" si="12"/>
        <v>0</v>
      </c>
      <c r="O156" t="str">
        <f t="shared" ca="1" si="13"/>
        <v>0-30 Days</v>
      </c>
    </row>
    <row r="157" spans="1:15" x14ac:dyDescent="0.3">
      <c r="A157" s="6" t="s">
        <v>540</v>
      </c>
      <c r="B157" s="7" t="s">
        <v>84</v>
      </c>
      <c r="C157" s="6" t="s">
        <v>12</v>
      </c>
      <c r="D157" s="2" t="str">
        <f t="shared" si="10"/>
        <v>May</v>
      </c>
      <c r="E157" s="25" t="s">
        <v>383</v>
      </c>
      <c r="F157" s="21" t="s">
        <v>411</v>
      </c>
      <c r="G157" s="21" t="s">
        <v>369</v>
      </c>
      <c r="H157" s="21" t="s">
        <v>223</v>
      </c>
      <c r="I157" s="8">
        <v>55000</v>
      </c>
      <c r="J157" s="8">
        <v>55000</v>
      </c>
      <c r="K157" s="5" t="s">
        <v>17</v>
      </c>
      <c r="L157">
        <f t="shared" si="11"/>
        <v>1</v>
      </c>
      <c r="M157">
        <f t="shared" ca="1" si="14"/>
        <v>5</v>
      </c>
      <c r="N157" s="15">
        <f t="shared" si="12"/>
        <v>0</v>
      </c>
      <c r="O157" t="str">
        <f t="shared" ca="1" si="13"/>
        <v>0-30 Days</v>
      </c>
    </row>
    <row r="158" spans="1:15" x14ac:dyDescent="0.3">
      <c r="A158" s="2" t="s">
        <v>541</v>
      </c>
      <c r="B158" s="3" t="s">
        <v>221</v>
      </c>
      <c r="C158" s="2" t="s">
        <v>12</v>
      </c>
      <c r="D158" s="2" t="str">
        <f t="shared" si="10"/>
        <v>Aug</v>
      </c>
      <c r="E158" s="24" t="s">
        <v>534</v>
      </c>
      <c r="F158" s="20" t="s">
        <v>157</v>
      </c>
      <c r="G158" s="20" t="s">
        <v>158</v>
      </c>
      <c r="H158" s="20" t="s">
        <v>542</v>
      </c>
      <c r="I158" s="4">
        <v>35000</v>
      </c>
      <c r="J158" s="4">
        <v>35000</v>
      </c>
      <c r="K158" s="5" t="s">
        <v>17</v>
      </c>
      <c r="L158">
        <f t="shared" si="11"/>
        <v>3</v>
      </c>
      <c r="M158">
        <f t="shared" ca="1" si="14"/>
        <v>12</v>
      </c>
      <c r="N158" s="15">
        <f t="shared" si="12"/>
        <v>0</v>
      </c>
      <c r="O158" t="str">
        <f t="shared" ca="1" si="13"/>
        <v>0-30 Days</v>
      </c>
    </row>
    <row r="159" spans="1:15" x14ac:dyDescent="0.3">
      <c r="A159" s="6" t="s">
        <v>543</v>
      </c>
      <c r="B159" s="7" t="s">
        <v>297</v>
      </c>
      <c r="C159" s="6" t="s">
        <v>26</v>
      </c>
      <c r="D159" s="2" t="str">
        <f t="shared" si="10"/>
        <v>Dec</v>
      </c>
      <c r="E159" s="25" t="s">
        <v>544</v>
      </c>
      <c r="F159" s="21" t="s">
        <v>390</v>
      </c>
      <c r="G159" s="21" t="s">
        <v>545</v>
      </c>
      <c r="H159" s="21" t="s">
        <v>283</v>
      </c>
      <c r="I159" s="8">
        <v>22000</v>
      </c>
      <c r="J159" s="8">
        <v>22000</v>
      </c>
      <c r="K159" s="5" t="s">
        <v>17</v>
      </c>
      <c r="L159">
        <f t="shared" si="11"/>
        <v>2</v>
      </c>
      <c r="M159">
        <f t="shared" ca="1" si="14"/>
        <v>12</v>
      </c>
      <c r="N159" s="15">
        <f t="shared" si="12"/>
        <v>0</v>
      </c>
      <c r="O159" t="str">
        <f t="shared" ca="1" si="13"/>
        <v>0-30 Days</v>
      </c>
    </row>
    <row r="160" spans="1:15" x14ac:dyDescent="0.3">
      <c r="A160" s="2" t="s">
        <v>546</v>
      </c>
      <c r="B160" s="3" t="s">
        <v>255</v>
      </c>
      <c r="C160" s="2" t="s">
        <v>26</v>
      </c>
      <c r="D160" s="2" t="str">
        <f t="shared" si="10"/>
        <v>Nov</v>
      </c>
      <c r="E160" s="24" t="s">
        <v>122</v>
      </c>
      <c r="F160" s="20" t="s">
        <v>547</v>
      </c>
      <c r="G160" s="20" t="s">
        <v>189</v>
      </c>
      <c r="H160" s="20" t="s">
        <v>282</v>
      </c>
      <c r="I160" s="4">
        <v>30000</v>
      </c>
      <c r="J160" s="4">
        <v>30000</v>
      </c>
      <c r="K160" s="5" t="s">
        <v>17</v>
      </c>
      <c r="L160">
        <f t="shared" si="11"/>
        <v>3</v>
      </c>
      <c r="M160">
        <f t="shared" ca="1" si="14"/>
        <v>22</v>
      </c>
      <c r="N160" s="15">
        <f t="shared" si="12"/>
        <v>0</v>
      </c>
      <c r="O160" t="str">
        <f t="shared" ca="1" si="13"/>
        <v>0-30 Days</v>
      </c>
    </row>
    <row r="161" spans="1:15" x14ac:dyDescent="0.3">
      <c r="A161" s="6" t="s">
        <v>548</v>
      </c>
      <c r="B161" s="7" t="s">
        <v>198</v>
      </c>
      <c r="C161" s="6" t="s">
        <v>26</v>
      </c>
      <c r="D161" s="2" t="str">
        <f t="shared" si="10"/>
        <v>Nov</v>
      </c>
      <c r="E161" s="25" t="s">
        <v>91</v>
      </c>
      <c r="F161" s="21" t="s">
        <v>92</v>
      </c>
      <c r="G161" s="21" t="s">
        <v>93</v>
      </c>
      <c r="H161" s="21"/>
      <c r="I161" s="8">
        <v>50000</v>
      </c>
      <c r="J161" s="8">
        <v>0</v>
      </c>
      <c r="K161" s="10" t="s">
        <v>57</v>
      </c>
      <c r="L161">
        <f t="shared" si="11"/>
        <v>1</v>
      </c>
      <c r="M161">
        <f t="shared" ca="1" si="14"/>
        <v>199</v>
      </c>
      <c r="N161" s="15">
        <f t="shared" si="12"/>
        <v>50000</v>
      </c>
      <c r="O161" t="str">
        <f t="shared" ca="1" si="13"/>
        <v>90+ Days</v>
      </c>
    </row>
    <row r="162" spans="1:15" x14ac:dyDescent="0.3">
      <c r="A162" s="2" t="s">
        <v>549</v>
      </c>
      <c r="B162" s="3" t="s">
        <v>212</v>
      </c>
      <c r="C162" s="2" t="s">
        <v>12</v>
      </c>
      <c r="D162" s="2" t="str">
        <f t="shared" si="10"/>
        <v>Jan</v>
      </c>
      <c r="E162" s="24" t="s">
        <v>550</v>
      </c>
      <c r="F162" s="20" t="s">
        <v>230</v>
      </c>
      <c r="G162" s="20" t="s">
        <v>470</v>
      </c>
      <c r="H162" s="20" t="s">
        <v>15</v>
      </c>
      <c r="I162" s="4">
        <v>60000</v>
      </c>
      <c r="J162" s="4">
        <v>60000</v>
      </c>
      <c r="K162" s="9" t="s">
        <v>45</v>
      </c>
      <c r="L162">
        <f t="shared" si="11"/>
        <v>1</v>
      </c>
      <c r="M162">
        <f t="shared" ca="1" si="14"/>
        <v>57</v>
      </c>
      <c r="N162" s="15">
        <f t="shared" si="12"/>
        <v>0</v>
      </c>
      <c r="O162" t="str">
        <f t="shared" ca="1" si="13"/>
        <v>31-60 Days</v>
      </c>
    </row>
    <row r="163" spans="1:15" x14ac:dyDescent="0.3">
      <c r="A163" s="6" t="s">
        <v>551</v>
      </c>
      <c r="B163" s="7" t="s">
        <v>494</v>
      </c>
      <c r="C163" s="6" t="s">
        <v>12</v>
      </c>
      <c r="D163" s="2" t="str">
        <f t="shared" si="10"/>
        <v>May</v>
      </c>
      <c r="E163" s="25" t="s">
        <v>386</v>
      </c>
      <c r="F163" s="21" t="s">
        <v>522</v>
      </c>
      <c r="G163" s="21" t="s">
        <v>353</v>
      </c>
      <c r="H163" s="21" t="s">
        <v>112</v>
      </c>
      <c r="I163" s="8">
        <v>15000</v>
      </c>
      <c r="J163" s="8">
        <v>15000</v>
      </c>
      <c r="K163" s="5" t="s">
        <v>17</v>
      </c>
      <c r="L163">
        <f t="shared" si="11"/>
        <v>2</v>
      </c>
      <c r="M163">
        <f t="shared" ca="1" si="14"/>
        <v>14</v>
      </c>
      <c r="N163" s="15">
        <f t="shared" si="12"/>
        <v>0</v>
      </c>
      <c r="O163" t="str">
        <f t="shared" ca="1" si="13"/>
        <v>0-30 Days</v>
      </c>
    </row>
    <row r="164" spans="1:15" x14ac:dyDescent="0.3">
      <c r="A164" s="2" t="s">
        <v>552</v>
      </c>
      <c r="B164" s="3" t="s">
        <v>553</v>
      </c>
      <c r="C164" s="2" t="s">
        <v>12</v>
      </c>
      <c r="D164" s="2" t="str">
        <f t="shared" si="10"/>
        <v>Jul</v>
      </c>
      <c r="E164" s="24" t="s">
        <v>253</v>
      </c>
      <c r="F164" s="20" t="s">
        <v>554</v>
      </c>
      <c r="G164" s="20" t="s">
        <v>61</v>
      </c>
      <c r="H164" s="20" t="s">
        <v>555</v>
      </c>
      <c r="I164" s="4">
        <v>45000</v>
      </c>
      <c r="J164" s="4">
        <v>45000</v>
      </c>
      <c r="K164" s="5" t="s">
        <v>17</v>
      </c>
      <c r="L164">
        <f t="shared" si="11"/>
        <v>2</v>
      </c>
      <c r="M164">
        <f t="shared" ca="1" si="14"/>
        <v>19</v>
      </c>
      <c r="N164" s="15">
        <f t="shared" si="12"/>
        <v>0</v>
      </c>
      <c r="O164" t="str">
        <f t="shared" ca="1" si="13"/>
        <v>0-30 Days</v>
      </c>
    </row>
    <row r="165" spans="1:15" x14ac:dyDescent="0.3">
      <c r="A165" s="6" t="s">
        <v>556</v>
      </c>
      <c r="B165" s="7" t="s">
        <v>180</v>
      </c>
      <c r="C165" s="6" t="s">
        <v>33</v>
      </c>
      <c r="D165" s="2" t="str">
        <f t="shared" si="10"/>
        <v>Nov</v>
      </c>
      <c r="E165" s="25" t="s">
        <v>557</v>
      </c>
      <c r="F165" s="21" t="s">
        <v>37</v>
      </c>
      <c r="G165" s="21" t="s">
        <v>141</v>
      </c>
      <c r="H165" s="21"/>
      <c r="I165" s="8">
        <v>18000</v>
      </c>
      <c r="J165" s="8">
        <v>0</v>
      </c>
      <c r="K165" s="12" t="s">
        <v>71</v>
      </c>
      <c r="L165">
        <f t="shared" si="11"/>
        <v>1</v>
      </c>
      <c r="M165">
        <f t="shared" ca="1" si="14"/>
        <v>224</v>
      </c>
      <c r="N165" s="15">
        <f t="shared" si="12"/>
        <v>18000</v>
      </c>
      <c r="O165" t="str">
        <f t="shared" ca="1" si="13"/>
        <v>90+ Days</v>
      </c>
    </row>
    <row r="166" spans="1:15" x14ac:dyDescent="0.3">
      <c r="A166" s="2" t="s">
        <v>558</v>
      </c>
      <c r="B166" s="3" t="s">
        <v>389</v>
      </c>
      <c r="C166" s="2" t="s">
        <v>12</v>
      </c>
      <c r="D166" s="2" t="str">
        <f t="shared" si="10"/>
        <v>May</v>
      </c>
      <c r="E166" s="24" t="s">
        <v>223</v>
      </c>
      <c r="F166" s="20" t="s">
        <v>559</v>
      </c>
      <c r="G166" s="20" t="s">
        <v>396</v>
      </c>
      <c r="H166" s="20" t="s">
        <v>560</v>
      </c>
      <c r="I166" s="4">
        <v>10000</v>
      </c>
      <c r="J166" s="4">
        <v>10000</v>
      </c>
      <c r="K166" s="5" t="s">
        <v>17</v>
      </c>
      <c r="L166">
        <f t="shared" si="11"/>
        <v>1</v>
      </c>
      <c r="M166">
        <f t="shared" ca="1" si="14"/>
        <v>26</v>
      </c>
      <c r="N166" s="15">
        <f t="shared" si="12"/>
        <v>0</v>
      </c>
      <c r="O166" t="str">
        <f t="shared" ca="1" si="13"/>
        <v>0-30 Days</v>
      </c>
    </row>
    <row r="167" spans="1:15" x14ac:dyDescent="0.3">
      <c r="A167" s="6" t="s">
        <v>561</v>
      </c>
      <c r="B167" s="7" t="s">
        <v>402</v>
      </c>
      <c r="C167" s="6" t="s">
        <v>12</v>
      </c>
      <c r="D167" s="2" t="str">
        <f t="shared" si="10"/>
        <v>Oct</v>
      </c>
      <c r="E167" s="25" t="s">
        <v>126</v>
      </c>
      <c r="F167" s="21" t="s">
        <v>215</v>
      </c>
      <c r="G167" s="21" t="s">
        <v>91</v>
      </c>
      <c r="H167" s="21" t="s">
        <v>562</v>
      </c>
      <c r="I167" s="8">
        <v>50000</v>
      </c>
      <c r="J167" s="8">
        <v>50000</v>
      </c>
      <c r="K167" s="9" t="s">
        <v>45</v>
      </c>
      <c r="L167">
        <f t="shared" si="11"/>
        <v>1</v>
      </c>
      <c r="M167">
        <f t="shared" ca="1" si="14"/>
        <v>55</v>
      </c>
      <c r="N167" s="15">
        <f t="shared" si="12"/>
        <v>0</v>
      </c>
      <c r="O167" t="str">
        <f t="shared" ca="1" si="13"/>
        <v>31-60 Days</v>
      </c>
    </row>
    <row r="168" spans="1:15" x14ac:dyDescent="0.3">
      <c r="A168" s="2" t="s">
        <v>563</v>
      </c>
      <c r="B168" s="3" t="s">
        <v>150</v>
      </c>
      <c r="C168" s="2" t="s">
        <v>33</v>
      </c>
      <c r="D168" s="2" t="str">
        <f t="shared" si="10"/>
        <v>Mar</v>
      </c>
      <c r="E168" s="24" t="s">
        <v>381</v>
      </c>
      <c r="F168" s="20" t="s">
        <v>161</v>
      </c>
      <c r="G168" s="20" t="s">
        <v>564</v>
      </c>
      <c r="H168" s="20" t="s">
        <v>507</v>
      </c>
      <c r="I168" s="4">
        <v>45000</v>
      </c>
      <c r="J168" s="4">
        <v>45000</v>
      </c>
      <c r="K168" s="9" t="s">
        <v>45</v>
      </c>
      <c r="L168">
        <f t="shared" si="11"/>
        <v>2</v>
      </c>
      <c r="M168">
        <f t="shared" ca="1" si="14"/>
        <v>60</v>
      </c>
      <c r="N168" s="15">
        <f t="shared" si="12"/>
        <v>0</v>
      </c>
      <c r="O168" t="str">
        <f t="shared" ca="1" si="13"/>
        <v>31-60 Days</v>
      </c>
    </row>
    <row r="169" spans="1:15" x14ac:dyDescent="0.3">
      <c r="A169" s="6" t="s">
        <v>565</v>
      </c>
      <c r="B169" s="7" t="s">
        <v>47</v>
      </c>
      <c r="C169" s="6" t="s">
        <v>40</v>
      </c>
      <c r="D169" s="2" t="str">
        <f t="shared" si="10"/>
        <v>Apr</v>
      </c>
      <c r="E169" s="25" t="s">
        <v>382</v>
      </c>
      <c r="F169" s="21" t="s">
        <v>238</v>
      </c>
      <c r="G169" s="21" t="s">
        <v>239</v>
      </c>
      <c r="H169" s="21" t="s">
        <v>425</v>
      </c>
      <c r="I169" s="8">
        <v>18000</v>
      </c>
      <c r="J169" s="8">
        <v>18000</v>
      </c>
      <c r="K169" s="9" t="s">
        <v>45</v>
      </c>
      <c r="L169">
        <f t="shared" si="11"/>
        <v>3</v>
      </c>
      <c r="M169">
        <f t="shared" ca="1" si="14"/>
        <v>46</v>
      </c>
      <c r="N169" s="15">
        <f t="shared" si="12"/>
        <v>0</v>
      </c>
      <c r="O169" t="str">
        <f t="shared" ca="1" si="13"/>
        <v>31-60 Days</v>
      </c>
    </row>
    <row r="170" spans="1:15" x14ac:dyDescent="0.3">
      <c r="A170" s="2" t="s">
        <v>566</v>
      </c>
      <c r="B170" s="3" t="s">
        <v>492</v>
      </c>
      <c r="C170" s="2" t="s">
        <v>26</v>
      </c>
      <c r="D170" s="2" t="str">
        <f t="shared" si="10"/>
        <v>Aug</v>
      </c>
      <c r="E170" s="24" t="s">
        <v>342</v>
      </c>
      <c r="F170" s="20" t="s">
        <v>228</v>
      </c>
      <c r="G170" s="20" t="s">
        <v>172</v>
      </c>
      <c r="H170" s="20" t="s">
        <v>62</v>
      </c>
      <c r="I170" s="4">
        <v>18000</v>
      </c>
      <c r="J170" s="4">
        <v>18000</v>
      </c>
      <c r="K170" s="5" t="s">
        <v>17</v>
      </c>
      <c r="L170">
        <f t="shared" si="11"/>
        <v>2</v>
      </c>
      <c r="M170">
        <f t="shared" ca="1" si="14"/>
        <v>26</v>
      </c>
      <c r="N170" s="15">
        <f t="shared" si="12"/>
        <v>0</v>
      </c>
      <c r="O170" t="str">
        <f t="shared" ca="1" si="13"/>
        <v>0-30 Days</v>
      </c>
    </row>
    <row r="171" spans="1:15" x14ac:dyDescent="0.3">
      <c r="A171" s="6" t="s">
        <v>567</v>
      </c>
      <c r="B171" s="7" t="s">
        <v>234</v>
      </c>
      <c r="C171" s="6" t="s">
        <v>40</v>
      </c>
      <c r="D171" s="2" t="str">
        <f t="shared" si="10"/>
        <v>Mar</v>
      </c>
      <c r="E171" s="25" t="s">
        <v>298</v>
      </c>
      <c r="F171" s="21" t="s">
        <v>422</v>
      </c>
      <c r="G171" s="21" t="s">
        <v>405</v>
      </c>
      <c r="H171" s="21" t="s">
        <v>163</v>
      </c>
      <c r="I171" s="8">
        <v>18000</v>
      </c>
      <c r="J171" s="8">
        <v>18000</v>
      </c>
      <c r="K171" s="9" t="s">
        <v>45</v>
      </c>
      <c r="L171">
        <f t="shared" si="11"/>
        <v>2</v>
      </c>
      <c r="M171">
        <f t="shared" ca="1" si="14"/>
        <v>40</v>
      </c>
      <c r="N171" s="15">
        <f t="shared" si="12"/>
        <v>0</v>
      </c>
      <c r="O171" t="str">
        <f t="shared" ca="1" si="13"/>
        <v>31-60 Days</v>
      </c>
    </row>
    <row r="172" spans="1:15" x14ac:dyDescent="0.3">
      <c r="A172" s="2" t="s">
        <v>568</v>
      </c>
      <c r="B172" s="3" t="s">
        <v>277</v>
      </c>
      <c r="C172" s="2" t="s">
        <v>12</v>
      </c>
      <c r="D172" s="2" t="str">
        <f t="shared" si="10"/>
        <v>Jul</v>
      </c>
      <c r="E172" s="24" t="s">
        <v>196</v>
      </c>
      <c r="F172" s="20" t="s">
        <v>554</v>
      </c>
      <c r="G172" s="20" t="s">
        <v>61</v>
      </c>
      <c r="H172" s="20" t="s">
        <v>195</v>
      </c>
      <c r="I172" s="4">
        <v>8000</v>
      </c>
      <c r="J172" s="4">
        <v>8000</v>
      </c>
      <c r="K172" s="5" t="s">
        <v>17</v>
      </c>
      <c r="L172">
        <f t="shared" si="11"/>
        <v>3</v>
      </c>
      <c r="M172">
        <f t="shared" ca="1" si="14"/>
        <v>15</v>
      </c>
      <c r="N172" s="15">
        <f t="shared" si="12"/>
        <v>0</v>
      </c>
      <c r="O172" t="str">
        <f t="shared" ca="1" si="13"/>
        <v>0-30 Days</v>
      </c>
    </row>
    <row r="173" spans="1:15" x14ac:dyDescent="0.3">
      <c r="A173" s="6" t="s">
        <v>569</v>
      </c>
      <c r="B173" s="7" t="s">
        <v>570</v>
      </c>
      <c r="C173" s="6" t="s">
        <v>33</v>
      </c>
      <c r="D173" s="2" t="str">
        <f t="shared" si="10"/>
        <v>Jun</v>
      </c>
      <c r="E173" s="25" t="s">
        <v>397</v>
      </c>
      <c r="F173" s="21" t="s">
        <v>294</v>
      </c>
      <c r="G173" s="21" t="s">
        <v>345</v>
      </c>
      <c r="H173" s="21"/>
      <c r="I173" s="8">
        <v>12000</v>
      </c>
      <c r="J173" s="8">
        <v>0</v>
      </c>
      <c r="K173" s="10" t="s">
        <v>57</v>
      </c>
      <c r="L173">
        <f t="shared" si="11"/>
        <v>1</v>
      </c>
      <c r="M173">
        <f t="shared" ca="1" si="14"/>
        <v>365</v>
      </c>
      <c r="N173" s="15">
        <f t="shared" si="12"/>
        <v>12000</v>
      </c>
      <c r="O173" t="str">
        <f t="shared" ca="1" si="13"/>
        <v>90+ Days</v>
      </c>
    </row>
    <row r="174" spans="1:15" x14ac:dyDescent="0.3">
      <c r="A174" s="2" t="s">
        <v>571</v>
      </c>
      <c r="B174" s="3" t="s">
        <v>572</v>
      </c>
      <c r="C174" s="2" t="s">
        <v>26</v>
      </c>
      <c r="D174" s="2" t="str">
        <f t="shared" si="10"/>
        <v>Dec</v>
      </c>
      <c r="E174" s="24" t="s">
        <v>363</v>
      </c>
      <c r="F174" s="20" t="s">
        <v>75</v>
      </c>
      <c r="G174" s="20" t="s">
        <v>76</v>
      </c>
      <c r="H174" s="20" t="s">
        <v>573</v>
      </c>
      <c r="I174" s="4">
        <v>22000</v>
      </c>
      <c r="J174" s="4">
        <v>22000</v>
      </c>
      <c r="K174" s="5" t="s">
        <v>17</v>
      </c>
      <c r="L174">
        <f t="shared" si="11"/>
        <v>3</v>
      </c>
      <c r="M174">
        <f t="shared" ca="1" si="14"/>
        <v>11</v>
      </c>
      <c r="N174" s="15">
        <f t="shared" si="12"/>
        <v>0</v>
      </c>
      <c r="O174" t="str">
        <f t="shared" ca="1" si="13"/>
        <v>0-30 Days</v>
      </c>
    </row>
    <row r="175" spans="1:15" x14ac:dyDescent="0.3">
      <c r="A175" s="6" t="s">
        <v>574</v>
      </c>
      <c r="B175" s="7" t="s">
        <v>487</v>
      </c>
      <c r="C175" s="6" t="s">
        <v>33</v>
      </c>
      <c r="D175" s="2" t="str">
        <f t="shared" si="10"/>
        <v>Jul</v>
      </c>
      <c r="E175" s="25" t="s">
        <v>55</v>
      </c>
      <c r="F175" s="21" t="s">
        <v>69</v>
      </c>
      <c r="G175" s="21" t="s">
        <v>70</v>
      </c>
      <c r="H175" s="21" t="s">
        <v>341</v>
      </c>
      <c r="I175" s="8">
        <v>35000</v>
      </c>
      <c r="J175" s="8">
        <v>35000</v>
      </c>
      <c r="K175" s="9" t="s">
        <v>45</v>
      </c>
      <c r="L175">
        <f t="shared" si="11"/>
        <v>3</v>
      </c>
      <c r="M175">
        <f t="shared" ca="1" si="14"/>
        <v>55</v>
      </c>
      <c r="N175" s="15">
        <f t="shared" si="12"/>
        <v>0</v>
      </c>
      <c r="O175" t="str">
        <f t="shared" ca="1" si="13"/>
        <v>31-60 Days</v>
      </c>
    </row>
    <row r="176" spans="1:15" x14ac:dyDescent="0.3">
      <c r="A176" s="2" t="s">
        <v>575</v>
      </c>
      <c r="B176" s="3" t="s">
        <v>313</v>
      </c>
      <c r="C176" s="2" t="s">
        <v>33</v>
      </c>
      <c r="D176" s="2" t="str">
        <f t="shared" si="10"/>
        <v>Apr</v>
      </c>
      <c r="E176" s="24" t="s">
        <v>576</v>
      </c>
      <c r="F176" s="20" t="s">
        <v>538</v>
      </c>
      <c r="G176" s="20" t="s">
        <v>151</v>
      </c>
      <c r="H176" s="20" t="s">
        <v>577</v>
      </c>
      <c r="I176" s="4">
        <v>55000</v>
      </c>
      <c r="J176" s="4">
        <v>55000</v>
      </c>
      <c r="K176" s="5" t="s">
        <v>17</v>
      </c>
      <c r="L176">
        <f t="shared" si="11"/>
        <v>2</v>
      </c>
      <c r="M176">
        <f t="shared" ca="1" si="14"/>
        <v>14</v>
      </c>
      <c r="N176" s="15">
        <f t="shared" si="12"/>
        <v>0</v>
      </c>
      <c r="O176" t="str">
        <f t="shared" ca="1" si="13"/>
        <v>0-30 Days</v>
      </c>
    </row>
    <row r="177" spans="1:15" x14ac:dyDescent="0.3">
      <c r="A177" s="6" t="s">
        <v>578</v>
      </c>
      <c r="B177" s="7" t="s">
        <v>242</v>
      </c>
      <c r="C177" s="6" t="s">
        <v>12</v>
      </c>
      <c r="D177" s="2" t="str">
        <f t="shared" si="10"/>
        <v>Dec</v>
      </c>
      <c r="E177" s="25" t="s">
        <v>579</v>
      </c>
      <c r="F177" s="21" t="s">
        <v>580</v>
      </c>
      <c r="G177" s="21" t="s">
        <v>581</v>
      </c>
      <c r="H177" s="21" t="s">
        <v>191</v>
      </c>
      <c r="I177" s="8">
        <v>15000</v>
      </c>
      <c r="J177" s="8">
        <v>15000</v>
      </c>
      <c r="K177" s="5" t="s">
        <v>17</v>
      </c>
      <c r="L177">
        <f t="shared" si="11"/>
        <v>2</v>
      </c>
      <c r="M177">
        <f t="shared" ca="1" si="14"/>
        <v>25</v>
      </c>
      <c r="N177" s="15">
        <f t="shared" si="12"/>
        <v>0</v>
      </c>
      <c r="O177" t="str">
        <f t="shared" ca="1" si="13"/>
        <v>0-30 Days</v>
      </c>
    </row>
    <row r="178" spans="1:15" x14ac:dyDescent="0.3">
      <c r="A178" s="2" t="s">
        <v>582</v>
      </c>
      <c r="B178" s="3" t="s">
        <v>389</v>
      </c>
      <c r="C178" s="2" t="s">
        <v>12</v>
      </c>
      <c r="D178" s="2" t="str">
        <f t="shared" si="10"/>
        <v>May</v>
      </c>
      <c r="E178" s="24" t="s">
        <v>383</v>
      </c>
      <c r="F178" s="20" t="s">
        <v>239</v>
      </c>
      <c r="G178" s="20" t="s">
        <v>560</v>
      </c>
      <c r="H178" s="20" t="s">
        <v>366</v>
      </c>
      <c r="I178" s="4">
        <v>25000</v>
      </c>
      <c r="J178" s="4">
        <v>25000</v>
      </c>
      <c r="K178" s="5" t="s">
        <v>17</v>
      </c>
      <c r="L178">
        <f t="shared" si="11"/>
        <v>3</v>
      </c>
      <c r="M178">
        <f t="shared" ca="1" si="14"/>
        <v>5</v>
      </c>
      <c r="N178" s="15">
        <f t="shared" si="12"/>
        <v>0</v>
      </c>
      <c r="O178" t="str">
        <f t="shared" ca="1" si="13"/>
        <v>0-30 Days</v>
      </c>
    </row>
    <row r="179" spans="1:15" x14ac:dyDescent="0.3">
      <c r="A179" s="6" t="s">
        <v>583</v>
      </c>
      <c r="B179" s="7" t="s">
        <v>521</v>
      </c>
      <c r="C179" s="6" t="s">
        <v>33</v>
      </c>
      <c r="D179" s="2" t="str">
        <f t="shared" si="10"/>
        <v>Jul</v>
      </c>
      <c r="E179" s="25" t="s">
        <v>554</v>
      </c>
      <c r="F179" s="21" t="s">
        <v>584</v>
      </c>
      <c r="G179" s="21" t="s">
        <v>585</v>
      </c>
      <c r="H179" s="21"/>
      <c r="I179" s="8">
        <v>40000</v>
      </c>
      <c r="J179" s="8">
        <v>0</v>
      </c>
      <c r="K179" s="11" t="s">
        <v>63</v>
      </c>
      <c r="L179">
        <f t="shared" si="11"/>
        <v>1</v>
      </c>
      <c r="M179">
        <f t="shared" ca="1" si="14"/>
        <v>322</v>
      </c>
      <c r="N179" s="15">
        <f t="shared" si="12"/>
        <v>40000</v>
      </c>
      <c r="O179" t="str">
        <f t="shared" ca="1" si="13"/>
        <v>90+ Days</v>
      </c>
    </row>
    <row r="180" spans="1:15" x14ac:dyDescent="0.3">
      <c r="A180" s="2" t="s">
        <v>586</v>
      </c>
      <c r="B180" s="3" t="s">
        <v>587</v>
      </c>
      <c r="C180" s="2" t="s">
        <v>26</v>
      </c>
      <c r="D180" s="2" t="str">
        <f t="shared" si="10"/>
        <v>Aug</v>
      </c>
      <c r="E180" s="24" t="s">
        <v>96</v>
      </c>
      <c r="F180" s="20" t="s">
        <v>289</v>
      </c>
      <c r="G180" s="20" t="s">
        <v>290</v>
      </c>
      <c r="H180" s="20" t="s">
        <v>213</v>
      </c>
      <c r="I180" s="4">
        <v>20000</v>
      </c>
      <c r="J180" s="4">
        <v>20000</v>
      </c>
      <c r="K180" s="5" t="s">
        <v>17</v>
      </c>
      <c r="L180">
        <f t="shared" si="11"/>
        <v>1</v>
      </c>
      <c r="M180">
        <f t="shared" ca="1" si="14"/>
        <v>27</v>
      </c>
      <c r="N180" s="15">
        <f t="shared" si="12"/>
        <v>0</v>
      </c>
      <c r="O180" t="str">
        <f t="shared" ca="1" si="13"/>
        <v>0-30 Days</v>
      </c>
    </row>
    <row r="181" spans="1:15" x14ac:dyDescent="0.3">
      <c r="A181" s="6" t="s">
        <v>588</v>
      </c>
      <c r="B181" s="7" t="s">
        <v>378</v>
      </c>
      <c r="C181" s="6" t="s">
        <v>12</v>
      </c>
      <c r="D181" s="2" t="str">
        <f t="shared" si="10"/>
        <v>Sep</v>
      </c>
      <c r="E181" s="25" t="s">
        <v>589</v>
      </c>
      <c r="F181" s="21" t="s">
        <v>158</v>
      </c>
      <c r="G181" s="21" t="s">
        <v>392</v>
      </c>
      <c r="H181" s="21" t="s">
        <v>133</v>
      </c>
      <c r="I181" s="8">
        <v>50000</v>
      </c>
      <c r="J181" s="8">
        <v>50000</v>
      </c>
      <c r="K181" s="5" t="s">
        <v>17</v>
      </c>
      <c r="L181">
        <f t="shared" si="11"/>
        <v>3</v>
      </c>
      <c r="M181">
        <f t="shared" ca="1" si="14"/>
        <v>20</v>
      </c>
      <c r="N181" s="15">
        <f t="shared" si="12"/>
        <v>0</v>
      </c>
      <c r="O181" t="str">
        <f t="shared" ca="1" si="13"/>
        <v>0-30 Days</v>
      </c>
    </row>
    <row r="182" spans="1:15" x14ac:dyDescent="0.3">
      <c r="A182" s="2" t="s">
        <v>590</v>
      </c>
      <c r="B182" s="3" t="s">
        <v>461</v>
      </c>
      <c r="C182" s="2" t="s">
        <v>12</v>
      </c>
      <c r="D182" s="2" t="str">
        <f t="shared" si="10"/>
        <v>May</v>
      </c>
      <c r="E182" s="24" t="s">
        <v>163</v>
      </c>
      <c r="F182" s="20" t="s">
        <v>591</v>
      </c>
      <c r="G182" s="20" t="s">
        <v>295</v>
      </c>
      <c r="H182" s="20" t="s">
        <v>109</v>
      </c>
      <c r="I182" s="4">
        <v>55000</v>
      </c>
      <c r="J182" s="4">
        <v>55000</v>
      </c>
      <c r="K182" s="5" t="s">
        <v>17</v>
      </c>
      <c r="L182">
        <f t="shared" si="11"/>
        <v>2</v>
      </c>
      <c r="M182">
        <f t="shared" ca="1" si="14"/>
        <v>11</v>
      </c>
      <c r="N182" s="15">
        <f t="shared" si="12"/>
        <v>0</v>
      </c>
      <c r="O182" t="str">
        <f t="shared" ca="1" si="13"/>
        <v>0-30 Days</v>
      </c>
    </row>
    <row r="183" spans="1:15" x14ac:dyDescent="0.3">
      <c r="A183" s="6" t="s">
        <v>592</v>
      </c>
      <c r="B183" s="7" t="s">
        <v>593</v>
      </c>
      <c r="C183" s="6" t="s">
        <v>12</v>
      </c>
      <c r="D183" s="2" t="str">
        <f t="shared" si="10"/>
        <v>Sep</v>
      </c>
      <c r="E183" s="25" t="s">
        <v>589</v>
      </c>
      <c r="F183" s="21" t="s">
        <v>158</v>
      </c>
      <c r="G183" s="21" t="s">
        <v>392</v>
      </c>
      <c r="H183" s="21"/>
      <c r="I183" s="8">
        <v>20000</v>
      </c>
      <c r="J183" s="8">
        <v>0</v>
      </c>
      <c r="K183" s="10" t="s">
        <v>57</v>
      </c>
      <c r="L183">
        <f t="shared" si="11"/>
        <v>3</v>
      </c>
      <c r="M183">
        <f t="shared" ca="1" si="14"/>
        <v>268</v>
      </c>
      <c r="N183" s="15">
        <f t="shared" si="12"/>
        <v>20000</v>
      </c>
      <c r="O183" t="str">
        <f t="shared" ca="1" si="13"/>
        <v>90+ Days</v>
      </c>
    </row>
    <row r="184" spans="1:15" x14ac:dyDescent="0.3">
      <c r="A184" s="2" t="s">
        <v>594</v>
      </c>
      <c r="B184" s="3" t="s">
        <v>47</v>
      </c>
      <c r="C184" s="2" t="s">
        <v>40</v>
      </c>
      <c r="D184" s="2" t="str">
        <f t="shared" si="10"/>
        <v>Aug</v>
      </c>
      <c r="E184" s="24" t="s">
        <v>227</v>
      </c>
      <c r="F184" s="20" t="s">
        <v>333</v>
      </c>
      <c r="G184" s="20" t="s">
        <v>88</v>
      </c>
      <c r="H184" s="20" t="s">
        <v>472</v>
      </c>
      <c r="I184" s="4">
        <v>45000</v>
      </c>
      <c r="J184" s="4">
        <v>45000</v>
      </c>
      <c r="K184" s="5" t="s">
        <v>17</v>
      </c>
      <c r="L184">
        <f t="shared" si="11"/>
        <v>2</v>
      </c>
      <c r="M184">
        <f t="shared" ca="1" si="14"/>
        <v>5</v>
      </c>
      <c r="N184" s="15">
        <f t="shared" si="12"/>
        <v>0</v>
      </c>
      <c r="O184" t="str">
        <f t="shared" ca="1" si="13"/>
        <v>0-30 Days</v>
      </c>
    </row>
    <row r="185" spans="1:15" x14ac:dyDescent="0.3">
      <c r="A185" s="6" t="s">
        <v>595</v>
      </c>
      <c r="B185" s="7" t="s">
        <v>297</v>
      </c>
      <c r="C185" s="6" t="s">
        <v>26</v>
      </c>
      <c r="D185" s="2" t="str">
        <f t="shared" si="10"/>
        <v>Jun</v>
      </c>
      <c r="E185" s="25" t="s">
        <v>517</v>
      </c>
      <c r="F185" s="21" t="s">
        <v>560</v>
      </c>
      <c r="G185" s="21" t="s">
        <v>55</v>
      </c>
      <c r="H185" s="21"/>
      <c r="I185" s="8">
        <v>35000</v>
      </c>
      <c r="J185" s="8">
        <v>0</v>
      </c>
      <c r="K185" s="10" t="s">
        <v>57</v>
      </c>
      <c r="L185">
        <f t="shared" si="11"/>
        <v>3</v>
      </c>
      <c r="M185">
        <f t="shared" ca="1" si="14"/>
        <v>376</v>
      </c>
      <c r="N185" s="15">
        <f t="shared" si="12"/>
        <v>35000</v>
      </c>
      <c r="O185" t="str">
        <f t="shared" ca="1" si="13"/>
        <v>90+ Days</v>
      </c>
    </row>
    <row r="186" spans="1:15" x14ac:dyDescent="0.3">
      <c r="A186" s="2" t="s">
        <v>596</v>
      </c>
      <c r="B186" s="3" t="s">
        <v>420</v>
      </c>
      <c r="C186" s="2" t="s">
        <v>12</v>
      </c>
      <c r="D186" s="2" t="str">
        <f t="shared" si="10"/>
        <v>Oct</v>
      </c>
      <c r="E186" s="24" t="s">
        <v>597</v>
      </c>
      <c r="F186" s="20" t="s">
        <v>432</v>
      </c>
      <c r="G186" s="20" t="s">
        <v>37</v>
      </c>
      <c r="H186" s="20" t="s">
        <v>274</v>
      </c>
      <c r="I186" s="4">
        <v>100000</v>
      </c>
      <c r="J186" s="4">
        <v>100000</v>
      </c>
      <c r="K186" s="5" t="s">
        <v>17</v>
      </c>
      <c r="L186">
        <f t="shared" si="11"/>
        <v>2</v>
      </c>
      <c r="M186">
        <f t="shared" ca="1" si="14"/>
        <v>22</v>
      </c>
      <c r="N186" s="15">
        <f t="shared" si="12"/>
        <v>0</v>
      </c>
      <c r="O186" t="str">
        <f t="shared" ca="1" si="13"/>
        <v>0-30 Days</v>
      </c>
    </row>
    <row r="187" spans="1:15" x14ac:dyDescent="0.3">
      <c r="A187" s="6" t="s">
        <v>598</v>
      </c>
      <c r="B187" s="7" t="s">
        <v>65</v>
      </c>
      <c r="C187" s="6" t="s">
        <v>12</v>
      </c>
      <c r="D187" s="2" t="str">
        <f t="shared" si="10"/>
        <v>Aug</v>
      </c>
      <c r="E187" s="25" t="s">
        <v>157</v>
      </c>
      <c r="F187" s="21" t="s">
        <v>60</v>
      </c>
      <c r="G187" s="21" t="s">
        <v>599</v>
      </c>
      <c r="H187" s="21"/>
      <c r="I187" s="8">
        <v>30000</v>
      </c>
      <c r="J187" s="8">
        <v>0</v>
      </c>
      <c r="K187" s="11" t="s">
        <v>63</v>
      </c>
      <c r="L187">
        <f t="shared" si="11"/>
        <v>2</v>
      </c>
      <c r="M187">
        <f t="shared" ca="1" si="14"/>
        <v>296</v>
      </c>
      <c r="N187" s="15">
        <f t="shared" si="12"/>
        <v>30000</v>
      </c>
      <c r="O187" t="str">
        <f t="shared" ca="1" si="13"/>
        <v>90+ Days</v>
      </c>
    </row>
    <row r="188" spans="1:15" x14ac:dyDescent="0.3">
      <c r="A188" s="2" t="s">
        <v>600</v>
      </c>
      <c r="B188" s="3" t="s">
        <v>601</v>
      </c>
      <c r="C188" s="2" t="s">
        <v>40</v>
      </c>
      <c r="D188" s="2" t="str">
        <f t="shared" si="10"/>
        <v>Oct</v>
      </c>
      <c r="E188" s="24" t="s">
        <v>602</v>
      </c>
      <c r="F188" s="20" t="s">
        <v>214</v>
      </c>
      <c r="G188" s="20" t="s">
        <v>603</v>
      </c>
      <c r="H188" s="20"/>
      <c r="I188" s="4">
        <v>40000</v>
      </c>
      <c r="J188" s="4">
        <v>0</v>
      </c>
      <c r="K188" s="10" t="s">
        <v>57</v>
      </c>
      <c r="L188">
        <f t="shared" si="11"/>
        <v>2</v>
      </c>
      <c r="M188">
        <f t="shared" ca="1" si="14"/>
        <v>237</v>
      </c>
      <c r="N188" s="15">
        <f t="shared" si="12"/>
        <v>40000</v>
      </c>
      <c r="O188" t="str">
        <f t="shared" ca="1" si="13"/>
        <v>90+ Days</v>
      </c>
    </row>
    <row r="189" spans="1:15" x14ac:dyDescent="0.3">
      <c r="A189" s="6" t="s">
        <v>604</v>
      </c>
      <c r="B189" s="7" t="s">
        <v>221</v>
      </c>
      <c r="C189" s="6" t="s">
        <v>12</v>
      </c>
      <c r="D189" s="2" t="str">
        <f t="shared" si="10"/>
        <v>Jan</v>
      </c>
      <c r="E189" s="25" t="s">
        <v>330</v>
      </c>
      <c r="F189" s="21" t="s">
        <v>605</v>
      </c>
      <c r="G189" s="21" t="s">
        <v>606</v>
      </c>
      <c r="H189" s="21"/>
      <c r="I189" s="8">
        <v>35000</v>
      </c>
      <c r="J189" s="8">
        <v>0</v>
      </c>
      <c r="K189" s="12" t="s">
        <v>71</v>
      </c>
      <c r="L189">
        <f t="shared" si="11"/>
        <v>2</v>
      </c>
      <c r="M189">
        <f t="shared" ca="1" si="14"/>
        <v>507</v>
      </c>
      <c r="N189" s="15">
        <f t="shared" si="12"/>
        <v>35000</v>
      </c>
      <c r="O189" t="str">
        <f t="shared" ca="1" si="13"/>
        <v>90+ Days</v>
      </c>
    </row>
    <row r="190" spans="1:15" x14ac:dyDescent="0.3">
      <c r="A190" s="2" t="s">
        <v>607</v>
      </c>
      <c r="B190" s="3" t="s">
        <v>65</v>
      </c>
      <c r="C190" s="2" t="s">
        <v>12</v>
      </c>
      <c r="D190" s="2" t="str">
        <f t="shared" si="10"/>
        <v>Jul</v>
      </c>
      <c r="E190" s="24" t="s">
        <v>608</v>
      </c>
      <c r="F190" s="20" t="s">
        <v>351</v>
      </c>
      <c r="G190" s="20" t="s">
        <v>534</v>
      </c>
      <c r="H190" s="20" t="s">
        <v>253</v>
      </c>
      <c r="I190" s="4">
        <v>20000</v>
      </c>
      <c r="J190" s="4">
        <v>20000</v>
      </c>
      <c r="K190" s="5" t="s">
        <v>17</v>
      </c>
      <c r="L190">
        <f t="shared" si="11"/>
        <v>3</v>
      </c>
      <c r="M190">
        <f t="shared" ca="1" si="14"/>
        <v>6</v>
      </c>
      <c r="N190" s="15">
        <f t="shared" si="12"/>
        <v>0</v>
      </c>
      <c r="O190" t="str">
        <f t="shared" ca="1" si="13"/>
        <v>0-30 Days</v>
      </c>
    </row>
    <row r="191" spans="1:15" x14ac:dyDescent="0.3">
      <c r="A191" s="6" t="s">
        <v>609</v>
      </c>
      <c r="B191" s="7" t="s">
        <v>285</v>
      </c>
      <c r="C191" s="6" t="s">
        <v>12</v>
      </c>
      <c r="D191" s="2" t="str">
        <f t="shared" si="10"/>
        <v>Sep</v>
      </c>
      <c r="E191" s="25" t="s">
        <v>117</v>
      </c>
      <c r="F191" s="21" t="s">
        <v>589</v>
      </c>
      <c r="G191" s="21" t="s">
        <v>121</v>
      </c>
      <c r="H191" s="21"/>
      <c r="I191" s="8">
        <v>75000</v>
      </c>
      <c r="J191" s="8">
        <v>0</v>
      </c>
      <c r="K191" s="10" t="s">
        <v>57</v>
      </c>
      <c r="L191">
        <f t="shared" si="11"/>
        <v>3</v>
      </c>
      <c r="M191">
        <f t="shared" ca="1" si="14"/>
        <v>271</v>
      </c>
      <c r="N191" s="15">
        <f t="shared" si="12"/>
        <v>75000</v>
      </c>
      <c r="O191" t="str">
        <f t="shared" ca="1" si="13"/>
        <v>90+ Days</v>
      </c>
    </row>
    <row r="192" spans="1:15" x14ac:dyDescent="0.3">
      <c r="A192" s="2" t="s">
        <v>610</v>
      </c>
      <c r="B192" s="3" t="s">
        <v>242</v>
      </c>
      <c r="C192" s="2" t="s">
        <v>12</v>
      </c>
      <c r="D192" s="2" t="str">
        <f t="shared" si="10"/>
        <v>Feb</v>
      </c>
      <c r="E192" s="24" t="s">
        <v>79</v>
      </c>
      <c r="F192" s="20" t="s">
        <v>606</v>
      </c>
      <c r="G192" s="20" t="s">
        <v>422</v>
      </c>
      <c r="H192" s="20" t="s">
        <v>232</v>
      </c>
      <c r="I192" s="4">
        <v>22000</v>
      </c>
      <c r="J192" s="4">
        <v>22000</v>
      </c>
      <c r="K192" s="5" t="s">
        <v>17</v>
      </c>
      <c r="L192">
        <f t="shared" si="11"/>
        <v>3</v>
      </c>
      <c r="M192">
        <f t="shared" ca="1" si="14"/>
        <v>9</v>
      </c>
      <c r="N192" s="15">
        <f t="shared" si="12"/>
        <v>0</v>
      </c>
      <c r="O192" t="str">
        <f t="shared" ca="1" si="13"/>
        <v>0-30 Days</v>
      </c>
    </row>
    <row r="193" spans="1:15" x14ac:dyDescent="0.3">
      <c r="A193" s="6" t="s">
        <v>611</v>
      </c>
      <c r="B193" s="7" t="s">
        <v>221</v>
      </c>
      <c r="C193" s="6" t="s">
        <v>12</v>
      </c>
      <c r="D193" s="2" t="str">
        <f t="shared" si="10"/>
        <v>Dec</v>
      </c>
      <c r="E193" s="25" t="s">
        <v>270</v>
      </c>
      <c r="F193" s="21" t="s">
        <v>363</v>
      </c>
      <c r="G193" s="21" t="s">
        <v>612</v>
      </c>
      <c r="H193" s="21" t="s">
        <v>409</v>
      </c>
      <c r="I193" s="8">
        <v>10000</v>
      </c>
      <c r="J193" s="8">
        <v>10000</v>
      </c>
      <c r="K193" s="5" t="s">
        <v>17</v>
      </c>
      <c r="L193">
        <f t="shared" si="11"/>
        <v>1</v>
      </c>
      <c r="M193">
        <f t="shared" ca="1" si="14"/>
        <v>13</v>
      </c>
      <c r="N193" s="15">
        <f t="shared" si="12"/>
        <v>0</v>
      </c>
      <c r="O193" t="str">
        <f t="shared" ca="1" si="13"/>
        <v>0-30 Days</v>
      </c>
    </row>
    <row r="194" spans="1:15" x14ac:dyDescent="0.3">
      <c r="A194" s="2" t="s">
        <v>613</v>
      </c>
      <c r="B194" s="3" t="s">
        <v>500</v>
      </c>
      <c r="C194" s="2" t="s">
        <v>12</v>
      </c>
      <c r="D194" s="2" t="str">
        <f t="shared" si="10"/>
        <v>Nov</v>
      </c>
      <c r="E194" s="24" t="s">
        <v>373</v>
      </c>
      <c r="F194" s="20" t="s">
        <v>137</v>
      </c>
      <c r="G194" s="20" t="s">
        <v>98</v>
      </c>
      <c r="H194" s="20" t="s">
        <v>192</v>
      </c>
      <c r="I194" s="4">
        <v>12000</v>
      </c>
      <c r="J194" s="4">
        <v>12000</v>
      </c>
      <c r="K194" s="9" t="s">
        <v>45</v>
      </c>
      <c r="L194">
        <f t="shared" si="11"/>
        <v>3</v>
      </c>
      <c r="M194">
        <f t="shared" ca="1" si="14"/>
        <v>58</v>
      </c>
      <c r="N194" s="15">
        <f t="shared" si="12"/>
        <v>0</v>
      </c>
      <c r="O194" t="str">
        <f t="shared" ca="1" si="13"/>
        <v>31-60 Days</v>
      </c>
    </row>
    <row r="195" spans="1:15" x14ac:dyDescent="0.3">
      <c r="A195" s="6" t="s">
        <v>614</v>
      </c>
      <c r="B195" s="7" t="s">
        <v>339</v>
      </c>
      <c r="C195" s="6" t="s">
        <v>12</v>
      </c>
      <c r="D195" s="2" t="str">
        <f t="shared" ref="D195:D258" si="15">MID(E195, 4, 3)</f>
        <v>Dec</v>
      </c>
      <c r="E195" s="25" t="s">
        <v>282</v>
      </c>
      <c r="F195" s="21" t="s">
        <v>145</v>
      </c>
      <c r="G195" s="21" t="s">
        <v>615</v>
      </c>
      <c r="H195" s="21"/>
      <c r="I195" s="8">
        <v>12000</v>
      </c>
      <c r="J195" s="8">
        <v>0</v>
      </c>
      <c r="K195" s="11" t="s">
        <v>63</v>
      </c>
      <c r="L195">
        <f t="shared" ref="L195:L258" si="16">F195-E195</f>
        <v>3</v>
      </c>
      <c r="M195">
        <f t="shared" ca="1" si="14"/>
        <v>183</v>
      </c>
      <c r="N195" s="15">
        <f t="shared" ref="N195:N258" si="17">I195-J195</f>
        <v>12000</v>
      </c>
      <c r="O195" t="str">
        <f t="shared" ref="O195:O258" ca="1" si="18">IF(M195&lt;=30,"0-30 Days",
IF(M195&lt;=60,"31-60 Days",
IF(M195&lt;=90,"61-90 Days","90+ Days")))</f>
        <v>90+ Days</v>
      </c>
    </row>
    <row r="196" spans="1:15" x14ac:dyDescent="0.3">
      <c r="A196" s="2" t="s">
        <v>616</v>
      </c>
      <c r="B196" s="3" t="s">
        <v>529</v>
      </c>
      <c r="C196" s="2" t="s">
        <v>12</v>
      </c>
      <c r="D196" s="2" t="str">
        <f t="shared" si="15"/>
        <v>Sep</v>
      </c>
      <c r="E196" s="24" t="s">
        <v>617</v>
      </c>
      <c r="F196" s="20" t="s">
        <v>131</v>
      </c>
      <c r="G196" s="20" t="s">
        <v>244</v>
      </c>
      <c r="H196" s="20" t="s">
        <v>121</v>
      </c>
      <c r="I196" s="4">
        <v>8000</v>
      </c>
      <c r="J196" s="4">
        <v>8000</v>
      </c>
      <c r="K196" s="9" t="s">
        <v>45</v>
      </c>
      <c r="L196">
        <f t="shared" si="16"/>
        <v>3</v>
      </c>
      <c r="M196">
        <f t="shared" ref="M196:M259" ca="1" si="19">IF(H196="",TODAY()-F196,H196-F196)</f>
        <v>38</v>
      </c>
      <c r="N196" s="15">
        <f t="shared" si="17"/>
        <v>0</v>
      </c>
      <c r="O196" t="str">
        <f t="shared" ca="1" si="18"/>
        <v>31-60 Days</v>
      </c>
    </row>
    <row r="197" spans="1:15" x14ac:dyDescent="0.3">
      <c r="A197" s="6" t="s">
        <v>618</v>
      </c>
      <c r="B197" s="7" t="s">
        <v>529</v>
      </c>
      <c r="C197" s="6" t="s">
        <v>12</v>
      </c>
      <c r="D197" s="2" t="str">
        <f t="shared" si="15"/>
        <v>Dec</v>
      </c>
      <c r="E197" s="25" t="s">
        <v>573</v>
      </c>
      <c r="F197" s="21" t="s">
        <v>98</v>
      </c>
      <c r="G197" s="21" t="s">
        <v>530</v>
      </c>
      <c r="H197" s="21"/>
      <c r="I197" s="8">
        <v>40000</v>
      </c>
      <c r="J197" s="8">
        <v>0</v>
      </c>
      <c r="K197" s="12" t="s">
        <v>71</v>
      </c>
      <c r="L197">
        <f t="shared" si="16"/>
        <v>2</v>
      </c>
      <c r="M197">
        <f t="shared" ca="1" si="19"/>
        <v>179</v>
      </c>
      <c r="N197" s="15">
        <f t="shared" si="17"/>
        <v>40000</v>
      </c>
      <c r="O197" t="str">
        <f t="shared" ca="1" si="18"/>
        <v>90+ Days</v>
      </c>
    </row>
    <row r="198" spans="1:15" x14ac:dyDescent="0.3">
      <c r="A198" s="2" t="s">
        <v>619</v>
      </c>
      <c r="B198" s="3" t="s">
        <v>361</v>
      </c>
      <c r="C198" s="2" t="s">
        <v>12</v>
      </c>
      <c r="D198" s="2" t="str">
        <f t="shared" si="15"/>
        <v>Feb</v>
      </c>
      <c r="E198" s="24" t="s">
        <v>314</v>
      </c>
      <c r="F198" s="20" t="s">
        <v>80</v>
      </c>
      <c r="G198" s="20" t="s">
        <v>81</v>
      </c>
      <c r="H198" s="20" t="s">
        <v>49</v>
      </c>
      <c r="I198" s="4">
        <v>15000</v>
      </c>
      <c r="J198" s="4">
        <v>15000</v>
      </c>
      <c r="K198" s="5" t="s">
        <v>17</v>
      </c>
      <c r="L198">
        <f t="shared" si="16"/>
        <v>3</v>
      </c>
      <c r="M198">
        <f t="shared" ca="1" si="19"/>
        <v>27</v>
      </c>
      <c r="N198" s="15">
        <f t="shared" si="17"/>
        <v>0</v>
      </c>
      <c r="O198" t="str">
        <f t="shared" ca="1" si="18"/>
        <v>0-30 Days</v>
      </c>
    </row>
    <row r="199" spans="1:15" x14ac:dyDescent="0.3">
      <c r="A199" s="6" t="s">
        <v>620</v>
      </c>
      <c r="B199" s="7" t="s">
        <v>165</v>
      </c>
      <c r="C199" s="6" t="s">
        <v>26</v>
      </c>
      <c r="D199" s="2" t="str">
        <f t="shared" si="15"/>
        <v>Jan</v>
      </c>
      <c r="E199" s="25" t="s">
        <v>357</v>
      </c>
      <c r="F199" s="21" t="s">
        <v>27</v>
      </c>
      <c r="G199" s="21" t="s">
        <v>358</v>
      </c>
      <c r="H199" s="21"/>
      <c r="I199" s="8">
        <v>75000</v>
      </c>
      <c r="J199" s="8">
        <v>0</v>
      </c>
      <c r="K199" s="12" t="s">
        <v>71</v>
      </c>
      <c r="L199">
        <f t="shared" si="16"/>
        <v>1</v>
      </c>
      <c r="M199">
        <f t="shared" ca="1" si="19"/>
        <v>516</v>
      </c>
      <c r="N199" s="15">
        <f t="shared" si="17"/>
        <v>75000</v>
      </c>
      <c r="O199" t="str">
        <f t="shared" ca="1" si="18"/>
        <v>90+ Days</v>
      </c>
    </row>
    <row r="200" spans="1:15" x14ac:dyDescent="0.3">
      <c r="A200" s="2" t="s">
        <v>621</v>
      </c>
      <c r="B200" s="3" t="s">
        <v>378</v>
      </c>
      <c r="C200" s="2" t="s">
        <v>12</v>
      </c>
      <c r="D200" s="2" t="str">
        <f t="shared" si="15"/>
        <v>Jul</v>
      </c>
      <c r="E200" s="24" t="s">
        <v>54</v>
      </c>
      <c r="F200" s="20" t="s">
        <v>55</v>
      </c>
      <c r="G200" s="20" t="s">
        <v>56</v>
      </c>
      <c r="H200" s="20" t="s">
        <v>253</v>
      </c>
      <c r="I200" s="4">
        <v>18000</v>
      </c>
      <c r="J200" s="4">
        <v>18000</v>
      </c>
      <c r="K200" s="5" t="s">
        <v>17</v>
      </c>
      <c r="L200">
        <f t="shared" si="16"/>
        <v>2</v>
      </c>
      <c r="M200">
        <f t="shared" ca="1" si="19"/>
        <v>21</v>
      </c>
      <c r="N200" s="15">
        <f t="shared" si="17"/>
        <v>0</v>
      </c>
      <c r="O200" t="str">
        <f t="shared" ca="1" si="18"/>
        <v>0-30 Days</v>
      </c>
    </row>
    <row r="201" spans="1:15" x14ac:dyDescent="0.3">
      <c r="A201" s="6" t="s">
        <v>622</v>
      </c>
      <c r="B201" s="7" t="s">
        <v>221</v>
      </c>
      <c r="C201" s="6" t="s">
        <v>12</v>
      </c>
      <c r="D201" s="2" t="str">
        <f t="shared" si="15"/>
        <v>Oct</v>
      </c>
      <c r="E201" s="25" t="s">
        <v>623</v>
      </c>
      <c r="F201" s="21" t="s">
        <v>602</v>
      </c>
      <c r="G201" s="21" t="s">
        <v>137</v>
      </c>
      <c r="H201" s="21" t="s">
        <v>274</v>
      </c>
      <c r="I201" s="8">
        <v>25000</v>
      </c>
      <c r="J201" s="8">
        <v>25000</v>
      </c>
      <c r="K201" s="5" t="s">
        <v>17</v>
      </c>
      <c r="L201">
        <f t="shared" si="16"/>
        <v>3</v>
      </c>
      <c r="M201">
        <f t="shared" ca="1" si="19"/>
        <v>7</v>
      </c>
      <c r="N201" s="15">
        <f t="shared" si="17"/>
        <v>0</v>
      </c>
      <c r="O201" t="str">
        <f t="shared" ca="1" si="18"/>
        <v>0-30 Days</v>
      </c>
    </row>
    <row r="202" spans="1:15" x14ac:dyDescent="0.3">
      <c r="A202" s="2" t="s">
        <v>624</v>
      </c>
      <c r="B202" s="3" t="s">
        <v>300</v>
      </c>
      <c r="C202" s="2" t="s">
        <v>12</v>
      </c>
      <c r="D202" s="2" t="str">
        <f t="shared" si="15"/>
        <v>Jul</v>
      </c>
      <c r="E202" s="24" t="s">
        <v>344</v>
      </c>
      <c r="F202" s="20" t="s">
        <v>625</v>
      </c>
      <c r="G202" s="20" t="s">
        <v>626</v>
      </c>
      <c r="H202" s="20" t="s">
        <v>87</v>
      </c>
      <c r="I202" s="4">
        <v>40000</v>
      </c>
      <c r="J202" s="4">
        <v>40000</v>
      </c>
      <c r="K202" s="5" t="s">
        <v>17</v>
      </c>
      <c r="L202">
        <f t="shared" si="16"/>
        <v>3</v>
      </c>
      <c r="M202">
        <f t="shared" ca="1" si="19"/>
        <v>23</v>
      </c>
      <c r="N202" s="15">
        <f t="shared" si="17"/>
        <v>0</v>
      </c>
      <c r="O202" t="str">
        <f t="shared" ca="1" si="18"/>
        <v>0-30 Days</v>
      </c>
    </row>
    <row r="203" spans="1:15" x14ac:dyDescent="0.3">
      <c r="A203" s="6" t="s">
        <v>627</v>
      </c>
      <c r="B203" s="7" t="s">
        <v>407</v>
      </c>
      <c r="C203" s="6" t="s">
        <v>33</v>
      </c>
      <c r="D203" s="2" t="str">
        <f t="shared" si="15"/>
        <v>Apr</v>
      </c>
      <c r="E203" s="25" t="s">
        <v>209</v>
      </c>
      <c r="F203" s="21" t="s">
        <v>577</v>
      </c>
      <c r="G203" s="21" t="s">
        <v>506</v>
      </c>
      <c r="H203" s="21" t="s">
        <v>385</v>
      </c>
      <c r="I203" s="8">
        <v>50000</v>
      </c>
      <c r="J203" s="8">
        <v>50000</v>
      </c>
      <c r="K203" s="5" t="s">
        <v>17</v>
      </c>
      <c r="L203">
        <f t="shared" si="16"/>
        <v>2</v>
      </c>
      <c r="M203">
        <f t="shared" ca="1" si="19"/>
        <v>26</v>
      </c>
      <c r="N203" s="15">
        <f t="shared" si="17"/>
        <v>0</v>
      </c>
      <c r="O203" t="str">
        <f t="shared" ca="1" si="18"/>
        <v>0-30 Days</v>
      </c>
    </row>
    <row r="204" spans="1:15" x14ac:dyDescent="0.3">
      <c r="A204" s="2" t="s">
        <v>628</v>
      </c>
      <c r="B204" s="3" t="s">
        <v>144</v>
      </c>
      <c r="C204" s="2" t="s">
        <v>12</v>
      </c>
      <c r="D204" s="2" t="str">
        <f t="shared" si="15"/>
        <v>Aug</v>
      </c>
      <c r="E204" s="24" t="s">
        <v>61</v>
      </c>
      <c r="F204" s="20" t="s">
        <v>342</v>
      </c>
      <c r="G204" s="20" t="s">
        <v>629</v>
      </c>
      <c r="H204" s="20" t="s">
        <v>322</v>
      </c>
      <c r="I204" s="4">
        <v>55000</v>
      </c>
      <c r="J204" s="4">
        <v>55000</v>
      </c>
      <c r="K204" s="5" t="s">
        <v>17</v>
      </c>
      <c r="L204">
        <f t="shared" si="16"/>
        <v>2</v>
      </c>
      <c r="M204">
        <f t="shared" ca="1" si="19"/>
        <v>19</v>
      </c>
      <c r="N204" s="15">
        <f t="shared" si="17"/>
        <v>0</v>
      </c>
      <c r="O204" t="str">
        <f t="shared" ca="1" si="18"/>
        <v>0-30 Days</v>
      </c>
    </row>
    <row r="205" spans="1:15" x14ac:dyDescent="0.3">
      <c r="A205" s="6" t="s">
        <v>630</v>
      </c>
      <c r="B205" s="7" t="s">
        <v>347</v>
      </c>
      <c r="C205" s="6" t="s">
        <v>12</v>
      </c>
      <c r="D205" s="2" t="str">
        <f t="shared" si="15"/>
        <v>Oct</v>
      </c>
      <c r="E205" s="25" t="s">
        <v>126</v>
      </c>
      <c r="F205" s="21" t="s">
        <v>173</v>
      </c>
      <c r="G205" s="21" t="s">
        <v>92</v>
      </c>
      <c r="H205" s="21" t="s">
        <v>631</v>
      </c>
      <c r="I205" s="8">
        <v>18000</v>
      </c>
      <c r="J205" s="8">
        <v>18000</v>
      </c>
      <c r="K205" s="9" t="s">
        <v>45</v>
      </c>
      <c r="L205">
        <f t="shared" si="16"/>
        <v>2</v>
      </c>
      <c r="M205">
        <f t="shared" ca="1" si="19"/>
        <v>45</v>
      </c>
      <c r="N205" s="15">
        <f t="shared" si="17"/>
        <v>0</v>
      </c>
      <c r="O205" t="str">
        <f t="shared" ca="1" si="18"/>
        <v>31-60 Days</v>
      </c>
    </row>
    <row r="206" spans="1:15" x14ac:dyDescent="0.3">
      <c r="A206" s="2" t="s">
        <v>632</v>
      </c>
      <c r="B206" s="3" t="s">
        <v>165</v>
      </c>
      <c r="C206" s="2" t="s">
        <v>26</v>
      </c>
      <c r="D206" s="2" t="str">
        <f t="shared" si="15"/>
        <v>Apr</v>
      </c>
      <c r="E206" s="24" t="s">
        <v>477</v>
      </c>
      <c r="F206" s="20" t="s">
        <v>467</v>
      </c>
      <c r="G206" s="20" t="s">
        <v>468</v>
      </c>
      <c r="H206" s="20" t="s">
        <v>577</v>
      </c>
      <c r="I206" s="4">
        <v>35000</v>
      </c>
      <c r="J206" s="4">
        <v>35000</v>
      </c>
      <c r="K206" s="5" t="s">
        <v>17</v>
      </c>
      <c r="L206">
        <f t="shared" si="16"/>
        <v>2</v>
      </c>
      <c r="M206">
        <f t="shared" ca="1" si="19"/>
        <v>17</v>
      </c>
      <c r="N206" s="15">
        <f t="shared" si="17"/>
        <v>0</v>
      </c>
      <c r="O206" t="str">
        <f t="shared" ca="1" si="18"/>
        <v>0-30 Days</v>
      </c>
    </row>
    <row r="207" spans="1:15" x14ac:dyDescent="0.3">
      <c r="A207" s="6" t="s">
        <v>633</v>
      </c>
      <c r="B207" s="7" t="s">
        <v>402</v>
      </c>
      <c r="C207" s="6" t="s">
        <v>12</v>
      </c>
      <c r="D207" s="2" t="str">
        <f t="shared" si="15"/>
        <v>Jul</v>
      </c>
      <c r="E207" s="25" t="s">
        <v>54</v>
      </c>
      <c r="F207" s="21" t="s">
        <v>634</v>
      </c>
      <c r="G207" s="21" t="s">
        <v>635</v>
      </c>
      <c r="H207" s="21"/>
      <c r="I207" s="8">
        <v>60000</v>
      </c>
      <c r="J207" s="8">
        <v>0</v>
      </c>
      <c r="K207" s="11" t="s">
        <v>63</v>
      </c>
      <c r="L207">
        <f t="shared" si="16"/>
        <v>3</v>
      </c>
      <c r="M207">
        <f t="shared" ca="1" si="19"/>
        <v>345</v>
      </c>
      <c r="N207" s="15">
        <f t="shared" si="17"/>
        <v>60000</v>
      </c>
      <c r="O207" t="str">
        <f t="shared" ca="1" si="18"/>
        <v>90+ Days</v>
      </c>
    </row>
    <row r="208" spans="1:15" x14ac:dyDescent="0.3">
      <c r="A208" s="2" t="s">
        <v>636</v>
      </c>
      <c r="B208" s="3" t="s">
        <v>378</v>
      </c>
      <c r="C208" s="2" t="s">
        <v>12</v>
      </c>
      <c r="D208" s="2" t="str">
        <f t="shared" si="15"/>
        <v>Jan</v>
      </c>
      <c r="E208" s="24" t="s">
        <v>637</v>
      </c>
      <c r="F208" s="20" t="s">
        <v>357</v>
      </c>
      <c r="G208" s="20" t="s">
        <v>502</v>
      </c>
      <c r="H208" s="20" t="s">
        <v>638</v>
      </c>
      <c r="I208" s="4">
        <v>12000</v>
      </c>
      <c r="J208" s="4">
        <v>12000</v>
      </c>
      <c r="K208" s="5" t="s">
        <v>17</v>
      </c>
      <c r="L208">
        <f t="shared" si="16"/>
        <v>3</v>
      </c>
      <c r="M208">
        <f t="shared" ca="1" si="19"/>
        <v>23</v>
      </c>
      <c r="N208" s="15">
        <f t="shared" si="17"/>
        <v>0</v>
      </c>
      <c r="O208" t="str">
        <f t="shared" ca="1" si="18"/>
        <v>0-30 Days</v>
      </c>
    </row>
    <row r="209" spans="1:15" x14ac:dyDescent="0.3">
      <c r="A209" s="6" t="s">
        <v>639</v>
      </c>
      <c r="B209" s="7" t="s">
        <v>90</v>
      </c>
      <c r="C209" s="6" t="s">
        <v>12</v>
      </c>
      <c r="D209" s="2" t="str">
        <f t="shared" si="15"/>
        <v>Jan</v>
      </c>
      <c r="E209" s="25" t="s">
        <v>264</v>
      </c>
      <c r="F209" s="21" t="s">
        <v>104</v>
      </c>
      <c r="G209" s="21" t="s">
        <v>14</v>
      </c>
      <c r="H209" s="21"/>
      <c r="I209" s="8">
        <v>35000</v>
      </c>
      <c r="J209" s="8">
        <v>0</v>
      </c>
      <c r="K209" s="10" t="s">
        <v>57</v>
      </c>
      <c r="L209">
        <f t="shared" si="16"/>
        <v>3</v>
      </c>
      <c r="M209">
        <f t="shared" ca="1" si="19"/>
        <v>503</v>
      </c>
      <c r="N209" s="15">
        <f t="shared" si="17"/>
        <v>35000</v>
      </c>
      <c r="O209" t="str">
        <f t="shared" ca="1" si="18"/>
        <v>90+ Days</v>
      </c>
    </row>
    <row r="210" spans="1:15" x14ac:dyDescent="0.3">
      <c r="A210" s="2" t="s">
        <v>640</v>
      </c>
      <c r="B210" s="3" t="s">
        <v>297</v>
      </c>
      <c r="C210" s="2" t="s">
        <v>26</v>
      </c>
      <c r="D210" s="2" t="str">
        <f t="shared" si="15"/>
        <v>Apr</v>
      </c>
      <c r="E210" s="24" t="s">
        <v>208</v>
      </c>
      <c r="F210" s="20" t="s">
        <v>577</v>
      </c>
      <c r="G210" s="20" t="s">
        <v>506</v>
      </c>
      <c r="H210" s="20" t="s">
        <v>367</v>
      </c>
      <c r="I210" s="4">
        <v>100000</v>
      </c>
      <c r="J210" s="4">
        <v>100000</v>
      </c>
      <c r="K210" s="5" t="s">
        <v>17</v>
      </c>
      <c r="L210">
        <f t="shared" si="16"/>
        <v>3</v>
      </c>
      <c r="M210">
        <f t="shared" ca="1" si="19"/>
        <v>11</v>
      </c>
      <c r="N210" s="15">
        <f t="shared" si="17"/>
        <v>0</v>
      </c>
      <c r="O210" t="str">
        <f t="shared" ca="1" si="18"/>
        <v>0-30 Days</v>
      </c>
    </row>
    <row r="211" spans="1:15" x14ac:dyDescent="0.3">
      <c r="A211" s="6" t="s">
        <v>641</v>
      </c>
      <c r="B211" s="7" t="s">
        <v>68</v>
      </c>
      <c r="C211" s="6" t="s">
        <v>33</v>
      </c>
      <c r="D211" s="2" t="str">
        <f t="shared" si="15"/>
        <v>May</v>
      </c>
      <c r="E211" s="25" t="s">
        <v>223</v>
      </c>
      <c r="F211" s="21" t="s">
        <v>367</v>
      </c>
      <c r="G211" s="21" t="s">
        <v>368</v>
      </c>
      <c r="H211" s="21" t="s">
        <v>475</v>
      </c>
      <c r="I211" s="8">
        <v>20000</v>
      </c>
      <c r="J211" s="8">
        <v>20000</v>
      </c>
      <c r="K211" s="9" t="s">
        <v>45</v>
      </c>
      <c r="L211">
        <f t="shared" si="16"/>
        <v>3</v>
      </c>
      <c r="M211">
        <f t="shared" ca="1" si="19"/>
        <v>59</v>
      </c>
      <c r="N211" s="15">
        <f t="shared" si="17"/>
        <v>0</v>
      </c>
      <c r="O211" t="str">
        <f t="shared" ca="1" si="18"/>
        <v>31-60 Days</v>
      </c>
    </row>
    <row r="212" spans="1:15" x14ac:dyDescent="0.3">
      <c r="A212" s="2" t="s">
        <v>642</v>
      </c>
      <c r="B212" s="3" t="s">
        <v>529</v>
      </c>
      <c r="C212" s="2" t="s">
        <v>12</v>
      </c>
      <c r="D212" s="2" t="str">
        <f t="shared" si="15"/>
        <v>Nov</v>
      </c>
      <c r="E212" s="24" t="s">
        <v>127</v>
      </c>
      <c r="F212" s="20" t="s">
        <v>91</v>
      </c>
      <c r="G212" s="20" t="s">
        <v>544</v>
      </c>
      <c r="H212" s="20"/>
      <c r="I212" s="4">
        <v>60000</v>
      </c>
      <c r="J212" s="4">
        <v>0</v>
      </c>
      <c r="K212" s="12" t="s">
        <v>71</v>
      </c>
      <c r="L212">
        <f t="shared" si="16"/>
        <v>1</v>
      </c>
      <c r="M212">
        <f t="shared" ca="1" si="19"/>
        <v>200</v>
      </c>
      <c r="N212" s="15">
        <f t="shared" si="17"/>
        <v>60000</v>
      </c>
      <c r="O212" t="str">
        <f t="shared" ca="1" si="18"/>
        <v>90+ Days</v>
      </c>
    </row>
    <row r="213" spans="1:15" x14ac:dyDescent="0.3">
      <c r="A213" s="6" t="s">
        <v>643</v>
      </c>
      <c r="B213" s="7" t="s">
        <v>25</v>
      </c>
      <c r="C213" s="6" t="s">
        <v>26</v>
      </c>
      <c r="D213" s="2" t="str">
        <f t="shared" si="15"/>
        <v>Oct</v>
      </c>
      <c r="E213" s="25" t="s">
        <v>273</v>
      </c>
      <c r="F213" s="21" t="s">
        <v>125</v>
      </c>
      <c r="G213" s="21" t="s">
        <v>271</v>
      </c>
      <c r="H213" s="21" t="s">
        <v>245</v>
      </c>
      <c r="I213" s="8">
        <v>20000</v>
      </c>
      <c r="J213" s="8">
        <v>20000</v>
      </c>
      <c r="K213" s="5" t="s">
        <v>17</v>
      </c>
      <c r="L213">
        <f t="shared" si="16"/>
        <v>2</v>
      </c>
      <c r="M213">
        <f t="shared" ca="1" si="19"/>
        <v>14</v>
      </c>
      <c r="N213" s="15">
        <f t="shared" si="17"/>
        <v>0</v>
      </c>
      <c r="O213" t="str">
        <f t="shared" ca="1" si="18"/>
        <v>0-30 Days</v>
      </c>
    </row>
    <row r="214" spans="1:15" x14ac:dyDescent="0.3">
      <c r="A214" s="2" t="s">
        <v>644</v>
      </c>
      <c r="B214" s="3" t="s">
        <v>497</v>
      </c>
      <c r="C214" s="2" t="s">
        <v>33</v>
      </c>
      <c r="D214" s="2" t="str">
        <f t="shared" si="15"/>
        <v>Aug</v>
      </c>
      <c r="E214" s="24" t="s">
        <v>227</v>
      </c>
      <c r="F214" s="20" t="s">
        <v>340</v>
      </c>
      <c r="G214" s="20" t="s">
        <v>341</v>
      </c>
      <c r="H214" s="20" t="s">
        <v>60</v>
      </c>
      <c r="I214" s="4">
        <v>30000</v>
      </c>
      <c r="J214" s="4">
        <v>30000</v>
      </c>
      <c r="K214" s="5" t="s">
        <v>17</v>
      </c>
      <c r="L214">
        <f t="shared" si="16"/>
        <v>1</v>
      </c>
      <c r="M214">
        <f t="shared" ca="1" si="19"/>
        <v>22</v>
      </c>
      <c r="N214" s="15">
        <f t="shared" si="17"/>
        <v>0</v>
      </c>
      <c r="O214" t="str">
        <f t="shared" ca="1" si="18"/>
        <v>0-30 Days</v>
      </c>
    </row>
    <row r="215" spans="1:15" x14ac:dyDescent="0.3">
      <c r="A215" s="6" t="s">
        <v>645</v>
      </c>
      <c r="B215" s="7" t="s">
        <v>176</v>
      </c>
      <c r="C215" s="6" t="s">
        <v>12</v>
      </c>
      <c r="D215" s="2" t="str">
        <f t="shared" si="15"/>
        <v>Sep</v>
      </c>
      <c r="E215" s="25" t="s">
        <v>171</v>
      </c>
      <c r="F215" s="21" t="s">
        <v>416</v>
      </c>
      <c r="G215" s="21" t="s">
        <v>269</v>
      </c>
      <c r="H215" s="21"/>
      <c r="I215" s="8">
        <v>50000</v>
      </c>
      <c r="J215" s="8">
        <v>0</v>
      </c>
      <c r="K215" s="10" t="s">
        <v>57</v>
      </c>
      <c r="L215">
        <f t="shared" si="16"/>
        <v>3</v>
      </c>
      <c r="M215">
        <f t="shared" ca="1" si="19"/>
        <v>257</v>
      </c>
      <c r="N215" s="15">
        <f t="shared" si="17"/>
        <v>50000</v>
      </c>
      <c r="O215" t="str">
        <f t="shared" ca="1" si="18"/>
        <v>90+ Days</v>
      </c>
    </row>
    <row r="216" spans="1:15" x14ac:dyDescent="0.3">
      <c r="A216" s="2" t="s">
        <v>646</v>
      </c>
      <c r="B216" s="3" t="s">
        <v>570</v>
      </c>
      <c r="C216" s="2" t="s">
        <v>33</v>
      </c>
      <c r="D216" s="2" t="str">
        <f t="shared" si="15"/>
        <v>Sep</v>
      </c>
      <c r="E216" s="24" t="s">
        <v>399</v>
      </c>
      <c r="F216" s="20" t="s">
        <v>291</v>
      </c>
      <c r="G216" s="20" t="s">
        <v>647</v>
      </c>
      <c r="H216" s="20"/>
      <c r="I216" s="4">
        <v>75000</v>
      </c>
      <c r="J216" s="4">
        <v>0</v>
      </c>
      <c r="K216" s="10" t="s">
        <v>57</v>
      </c>
      <c r="L216">
        <f t="shared" si="16"/>
        <v>2</v>
      </c>
      <c r="M216">
        <f t="shared" ca="1" si="19"/>
        <v>283</v>
      </c>
      <c r="N216" s="15">
        <f t="shared" si="17"/>
        <v>75000</v>
      </c>
      <c r="O216" t="str">
        <f t="shared" ca="1" si="18"/>
        <v>90+ Days</v>
      </c>
    </row>
    <row r="217" spans="1:15" x14ac:dyDescent="0.3">
      <c r="A217" s="6" t="s">
        <v>648</v>
      </c>
      <c r="B217" s="7" t="s">
        <v>489</v>
      </c>
      <c r="C217" s="6" t="s">
        <v>40</v>
      </c>
      <c r="D217" s="2" t="str">
        <f t="shared" si="15"/>
        <v>Feb</v>
      </c>
      <c r="E217" s="25" t="s">
        <v>649</v>
      </c>
      <c r="F217" s="21" t="s">
        <v>429</v>
      </c>
      <c r="G217" s="21" t="s">
        <v>82</v>
      </c>
      <c r="H217" s="21"/>
      <c r="I217" s="8">
        <v>40000</v>
      </c>
      <c r="J217" s="8">
        <v>0</v>
      </c>
      <c r="K217" s="10" t="s">
        <v>57</v>
      </c>
      <c r="L217">
        <f t="shared" si="16"/>
        <v>1</v>
      </c>
      <c r="M217">
        <f t="shared" ca="1" si="19"/>
        <v>492</v>
      </c>
      <c r="N217" s="15">
        <f t="shared" si="17"/>
        <v>40000</v>
      </c>
      <c r="O217" t="str">
        <f t="shared" ca="1" si="18"/>
        <v>90+ Days</v>
      </c>
    </row>
    <row r="218" spans="1:15" x14ac:dyDescent="0.3">
      <c r="A218" s="2" t="s">
        <v>650</v>
      </c>
      <c r="B218" s="3" t="s">
        <v>651</v>
      </c>
      <c r="C218" s="2" t="s">
        <v>12</v>
      </c>
      <c r="D218" s="2" t="str">
        <f t="shared" si="15"/>
        <v>Dec</v>
      </c>
      <c r="E218" s="24" t="s">
        <v>282</v>
      </c>
      <c r="F218" s="20" t="s">
        <v>631</v>
      </c>
      <c r="G218" s="20" t="s">
        <v>652</v>
      </c>
      <c r="H218" s="20" t="s">
        <v>653</v>
      </c>
      <c r="I218" s="4">
        <v>55000</v>
      </c>
      <c r="J218" s="4">
        <v>55000</v>
      </c>
      <c r="K218" s="5" t="s">
        <v>17</v>
      </c>
      <c r="L218">
        <f t="shared" si="16"/>
        <v>2</v>
      </c>
      <c r="M218">
        <f t="shared" ca="1" si="19"/>
        <v>17</v>
      </c>
      <c r="N218" s="15">
        <f t="shared" si="17"/>
        <v>0</v>
      </c>
      <c r="O218" t="str">
        <f t="shared" ca="1" si="18"/>
        <v>0-30 Days</v>
      </c>
    </row>
    <row r="219" spans="1:15" x14ac:dyDescent="0.3">
      <c r="A219" s="6" t="s">
        <v>654</v>
      </c>
      <c r="B219" s="7" t="s">
        <v>144</v>
      </c>
      <c r="C219" s="6" t="s">
        <v>12</v>
      </c>
      <c r="D219" s="2" t="str">
        <f t="shared" si="15"/>
        <v>May</v>
      </c>
      <c r="E219" s="25" t="s">
        <v>187</v>
      </c>
      <c r="F219" s="21" t="s">
        <v>110</v>
      </c>
      <c r="G219" s="21" t="s">
        <v>111</v>
      </c>
      <c r="H219" s="21" t="s">
        <v>655</v>
      </c>
      <c r="I219" s="8">
        <v>15000</v>
      </c>
      <c r="J219" s="8">
        <v>15000</v>
      </c>
      <c r="K219" s="5" t="s">
        <v>17</v>
      </c>
      <c r="L219">
        <f t="shared" si="16"/>
        <v>3</v>
      </c>
      <c r="M219">
        <f t="shared" ca="1" si="19"/>
        <v>26</v>
      </c>
      <c r="N219" s="15">
        <f t="shared" si="17"/>
        <v>0</v>
      </c>
      <c r="O219" t="str">
        <f t="shared" ca="1" si="18"/>
        <v>0-30 Days</v>
      </c>
    </row>
    <row r="220" spans="1:15" x14ac:dyDescent="0.3">
      <c r="A220" s="2" t="s">
        <v>656</v>
      </c>
      <c r="B220" s="3" t="s">
        <v>306</v>
      </c>
      <c r="C220" s="2" t="s">
        <v>12</v>
      </c>
      <c r="D220" s="2" t="str">
        <f t="shared" si="15"/>
        <v>Dec</v>
      </c>
      <c r="E220" s="24" t="s">
        <v>94</v>
      </c>
      <c r="F220" s="20" t="s">
        <v>286</v>
      </c>
      <c r="G220" s="20" t="s">
        <v>287</v>
      </c>
      <c r="H220" s="20"/>
      <c r="I220" s="4">
        <v>12000</v>
      </c>
      <c r="J220" s="4">
        <v>0</v>
      </c>
      <c r="K220" s="10" t="s">
        <v>57</v>
      </c>
      <c r="L220">
        <f t="shared" si="16"/>
        <v>2</v>
      </c>
      <c r="M220">
        <f t="shared" ca="1" si="19"/>
        <v>185</v>
      </c>
      <c r="N220" s="15">
        <f t="shared" si="17"/>
        <v>12000</v>
      </c>
      <c r="O220" t="str">
        <f t="shared" ca="1" si="18"/>
        <v>90+ Days</v>
      </c>
    </row>
    <row r="221" spans="1:15" x14ac:dyDescent="0.3">
      <c r="A221" s="6" t="s">
        <v>657</v>
      </c>
      <c r="B221" s="7" t="s">
        <v>658</v>
      </c>
      <c r="C221" s="6" t="s">
        <v>12</v>
      </c>
      <c r="D221" s="2" t="str">
        <f t="shared" si="15"/>
        <v>Feb</v>
      </c>
      <c r="E221" s="25" t="s">
        <v>21</v>
      </c>
      <c r="F221" s="21" t="s">
        <v>14</v>
      </c>
      <c r="G221" s="21" t="s">
        <v>15</v>
      </c>
      <c r="H221" s="21" t="s">
        <v>298</v>
      </c>
      <c r="I221" s="8">
        <v>40000</v>
      </c>
      <c r="J221" s="8">
        <v>40000</v>
      </c>
      <c r="K221" s="5" t="s">
        <v>17</v>
      </c>
      <c r="L221">
        <f t="shared" si="16"/>
        <v>3</v>
      </c>
      <c r="M221">
        <f t="shared" ca="1" si="19"/>
        <v>24</v>
      </c>
      <c r="N221" s="15">
        <f t="shared" si="17"/>
        <v>0</v>
      </c>
      <c r="O221" t="str">
        <f t="shared" ca="1" si="18"/>
        <v>0-30 Days</v>
      </c>
    </row>
    <row r="222" spans="1:15" x14ac:dyDescent="0.3">
      <c r="A222" s="2" t="s">
        <v>659</v>
      </c>
      <c r="B222" s="3" t="s">
        <v>660</v>
      </c>
      <c r="C222" s="2" t="s">
        <v>12</v>
      </c>
      <c r="D222" s="2" t="str">
        <f t="shared" si="15"/>
        <v>Jun</v>
      </c>
      <c r="E222" s="24" t="s">
        <v>661</v>
      </c>
      <c r="F222" s="20" t="s">
        <v>350</v>
      </c>
      <c r="G222" s="20" t="s">
        <v>351</v>
      </c>
      <c r="H222" s="20" t="s">
        <v>87</v>
      </c>
      <c r="I222" s="4">
        <v>40000</v>
      </c>
      <c r="J222" s="4">
        <v>40000</v>
      </c>
      <c r="K222" s="9" t="s">
        <v>45</v>
      </c>
      <c r="L222">
        <f t="shared" si="16"/>
        <v>3</v>
      </c>
      <c r="M222">
        <f t="shared" ca="1" si="19"/>
        <v>51</v>
      </c>
      <c r="N222" s="15">
        <f t="shared" si="17"/>
        <v>0</v>
      </c>
      <c r="O222" t="str">
        <f t="shared" ca="1" si="18"/>
        <v>31-60 Days</v>
      </c>
    </row>
    <row r="223" spans="1:15" x14ac:dyDescent="0.3">
      <c r="A223" s="6" t="s">
        <v>662</v>
      </c>
      <c r="B223" s="7" t="s">
        <v>489</v>
      </c>
      <c r="C223" s="6" t="s">
        <v>40</v>
      </c>
      <c r="D223" s="2" t="str">
        <f t="shared" si="15"/>
        <v>Dec</v>
      </c>
      <c r="E223" s="25" t="s">
        <v>663</v>
      </c>
      <c r="F223" s="21" t="s">
        <v>167</v>
      </c>
      <c r="G223" s="21" t="s">
        <v>664</v>
      </c>
      <c r="H223" s="21" t="s">
        <v>612</v>
      </c>
      <c r="I223" s="8">
        <v>18000</v>
      </c>
      <c r="J223" s="8">
        <v>18000</v>
      </c>
      <c r="K223" s="5" t="s">
        <v>17</v>
      </c>
      <c r="L223">
        <f t="shared" si="16"/>
        <v>2</v>
      </c>
      <c r="M223">
        <f t="shared" ca="1" si="19"/>
        <v>6</v>
      </c>
      <c r="N223" s="15">
        <f t="shared" si="17"/>
        <v>0</v>
      </c>
      <c r="O223" t="str">
        <f t="shared" ca="1" si="18"/>
        <v>0-30 Days</v>
      </c>
    </row>
    <row r="224" spans="1:15" x14ac:dyDescent="0.3">
      <c r="A224" s="2" t="s">
        <v>665</v>
      </c>
      <c r="B224" s="3" t="s">
        <v>25</v>
      </c>
      <c r="C224" s="2" t="s">
        <v>26</v>
      </c>
      <c r="D224" s="2" t="str">
        <f t="shared" si="15"/>
        <v>Jun</v>
      </c>
      <c r="E224" s="24" t="s">
        <v>560</v>
      </c>
      <c r="F224" s="20" t="s">
        <v>154</v>
      </c>
      <c r="G224" s="20" t="s">
        <v>348</v>
      </c>
      <c r="H224" s="20" t="s">
        <v>353</v>
      </c>
      <c r="I224" s="4">
        <v>15000</v>
      </c>
      <c r="J224" s="4">
        <v>15000</v>
      </c>
      <c r="K224" s="5" t="s">
        <v>17</v>
      </c>
      <c r="L224">
        <f t="shared" si="16"/>
        <v>2</v>
      </c>
      <c r="M224">
        <f t="shared" ca="1" si="19"/>
        <v>22</v>
      </c>
      <c r="N224" s="15">
        <f t="shared" si="17"/>
        <v>0</v>
      </c>
      <c r="O224" t="str">
        <f t="shared" ca="1" si="18"/>
        <v>0-30 Days</v>
      </c>
    </row>
    <row r="225" spans="1:15" x14ac:dyDescent="0.3">
      <c r="A225" s="6" t="s">
        <v>666</v>
      </c>
      <c r="B225" s="7" t="s">
        <v>457</v>
      </c>
      <c r="C225" s="6" t="s">
        <v>40</v>
      </c>
      <c r="D225" s="2" t="str">
        <f t="shared" si="15"/>
        <v>Jul</v>
      </c>
      <c r="E225" s="25" t="s">
        <v>625</v>
      </c>
      <c r="F225" s="21" t="s">
        <v>351</v>
      </c>
      <c r="G225" s="21" t="s">
        <v>534</v>
      </c>
      <c r="H225" s="21" t="s">
        <v>667</v>
      </c>
      <c r="I225" s="8">
        <v>100000</v>
      </c>
      <c r="J225" s="8">
        <v>100000</v>
      </c>
      <c r="K225" s="9" t="s">
        <v>45</v>
      </c>
      <c r="L225">
        <f t="shared" si="16"/>
        <v>2</v>
      </c>
      <c r="M225">
        <f t="shared" ca="1" si="19"/>
        <v>54</v>
      </c>
      <c r="N225" s="15">
        <f t="shared" si="17"/>
        <v>0</v>
      </c>
      <c r="O225" t="str">
        <f t="shared" ca="1" si="18"/>
        <v>31-60 Days</v>
      </c>
    </row>
    <row r="226" spans="1:15" x14ac:dyDescent="0.3">
      <c r="A226" s="2" t="s">
        <v>668</v>
      </c>
      <c r="B226" s="3" t="s">
        <v>553</v>
      </c>
      <c r="C226" s="2" t="s">
        <v>12</v>
      </c>
      <c r="D226" s="2" t="str">
        <f t="shared" si="15"/>
        <v>Oct</v>
      </c>
      <c r="E226" s="24" t="s">
        <v>400</v>
      </c>
      <c r="F226" s="20" t="s">
        <v>647</v>
      </c>
      <c r="G226" s="20" t="s">
        <v>447</v>
      </c>
      <c r="H226" s="20" t="s">
        <v>623</v>
      </c>
      <c r="I226" s="4">
        <v>20000</v>
      </c>
      <c r="J226" s="4">
        <v>10000</v>
      </c>
      <c r="K226" s="13" t="s">
        <v>113</v>
      </c>
      <c r="L226">
        <f t="shared" si="16"/>
        <v>2</v>
      </c>
      <c r="M226">
        <f t="shared" ca="1" si="19"/>
        <v>11</v>
      </c>
      <c r="N226" s="15">
        <f t="shared" si="17"/>
        <v>10000</v>
      </c>
      <c r="O226" t="str">
        <f t="shared" ca="1" si="18"/>
        <v>0-30 Days</v>
      </c>
    </row>
    <row r="227" spans="1:15" x14ac:dyDescent="0.3">
      <c r="A227" s="6" t="s">
        <v>669</v>
      </c>
      <c r="B227" s="7" t="s">
        <v>300</v>
      </c>
      <c r="C227" s="6" t="s">
        <v>12</v>
      </c>
      <c r="D227" s="2" t="str">
        <f t="shared" si="15"/>
        <v>Jul</v>
      </c>
      <c r="E227" s="25" t="s">
        <v>554</v>
      </c>
      <c r="F227" s="21" t="s">
        <v>226</v>
      </c>
      <c r="G227" s="21" t="s">
        <v>342</v>
      </c>
      <c r="H227" s="21" t="s">
        <v>670</v>
      </c>
      <c r="I227" s="8">
        <v>8000</v>
      </c>
      <c r="J227" s="8">
        <v>8000</v>
      </c>
      <c r="K227" s="9" t="s">
        <v>45</v>
      </c>
      <c r="L227">
        <f t="shared" si="16"/>
        <v>2</v>
      </c>
      <c r="M227">
        <f t="shared" ca="1" si="19"/>
        <v>37</v>
      </c>
      <c r="N227" s="15">
        <f t="shared" si="17"/>
        <v>0</v>
      </c>
      <c r="O227" t="str">
        <f t="shared" ca="1" si="18"/>
        <v>31-60 Days</v>
      </c>
    </row>
    <row r="228" spans="1:15" x14ac:dyDescent="0.3">
      <c r="A228" s="2" t="s">
        <v>671</v>
      </c>
      <c r="B228" s="3" t="s">
        <v>242</v>
      </c>
      <c r="C228" s="2" t="s">
        <v>12</v>
      </c>
      <c r="D228" s="2" t="str">
        <f t="shared" si="15"/>
        <v>Aug</v>
      </c>
      <c r="E228" s="24" t="s">
        <v>555</v>
      </c>
      <c r="F228" s="20" t="s">
        <v>626</v>
      </c>
      <c r="G228" s="20" t="s">
        <v>672</v>
      </c>
      <c r="H228" s="20" t="s">
        <v>667</v>
      </c>
      <c r="I228" s="4">
        <v>100000</v>
      </c>
      <c r="J228" s="4">
        <v>100000</v>
      </c>
      <c r="K228" s="5" t="s">
        <v>17</v>
      </c>
      <c r="L228">
        <f t="shared" si="16"/>
        <v>1</v>
      </c>
      <c r="M228">
        <f t="shared" ca="1" si="19"/>
        <v>26</v>
      </c>
      <c r="N228" s="15">
        <f t="shared" si="17"/>
        <v>0</v>
      </c>
      <c r="O228" t="str">
        <f t="shared" ca="1" si="18"/>
        <v>0-30 Days</v>
      </c>
    </row>
    <row r="229" spans="1:15" x14ac:dyDescent="0.3">
      <c r="A229" s="6" t="s">
        <v>673</v>
      </c>
      <c r="B229" s="7" t="s">
        <v>658</v>
      </c>
      <c r="C229" s="6" t="s">
        <v>12</v>
      </c>
      <c r="D229" s="2" t="str">
        <f t="shared" si="15"/>
        <v>Oct</v>
      </c>
      <c r="E229" s="25" t="s">
        <v>647</v>
      </c>
      <c r="F229" s="21" t="s">
        <v>243</v>
      </c>
      <c r="G229" s="21" t="s">
        <v>674</v>
      </c>
      <c r="H229" s="21" t="s">
        <v>214</v>
      </c>
      <c r="I229" s="8">
        <v>100000</v>
      </c>
      <c r="J229" s="8">
        <v>100000</v>
      </c>
      <c r="K229" s="5" t="s">
        <v>17</v>
      </c>
      <c r="L229">
        <f t="shared" si="16"/>
        <v>3</v>
      </c>
      <c r="M229">
        <f t="shared" ca="1" si="19"/>
        <v>13</v>
      </c>
      <c r="N229" s="15">
        <f t="shared" si="17"/>
        <v>0</v>
      </c>
      <c r="O229" t="str">
        <f t="shared" ca="1" si="18"/>
        <v>0-30 Days</v>
      </c>
    </row>
    <row r="230" spans="1:15" x14ac:dyDescent="0.3">
      <c r="A230" s="2" t="s">
        <v>675</v>
      </c>
      <c r="B230" s="3" t="s">
        <v>365</v>
      </c>
      <c r="C230" s="2" t="s">
        <v>40</v>
      </c>
      <c r="D230" s="2" t="str">
        <f t="shared" si="15"/>
        <v>Mar</v>
      </c>
      <c r="E230" s="24" t="s">
        <v>262</v>
      </c>
      <c r="F230" s="20" t="s">
        <v>201</v>
      </c>
      <c r="G230" s="20" t="s">
        <v>162</v>
      </c>
      <c r="H230" s="20" t="s">
        <v>412</v>
      </c>
      <c r="I230" s="4">
        <v>10000</v>
      </c>
      <c r="J230" s="4">
        <v>10000</v>
      </c>
      <c r="K230" s="9" t="s">
        <v>45</v>
      </c>
      <c r="L230">
        <f t="shared" si="16"/>
        <v>2</v>
      </c>
      <c r="M230">
        <f t="shared" ca="1" si="19"/>
        <v>51</v>
      </c>
      <c r="N230" s="15">
        <f t="shared" si="17"/>
        <v>0</v>
      </c>
      <c r="O230" t="str">
        <f t="shared" ca="1" si="18"/>
        <v>31-60 Days</v>
      </c>
    </row>
    <row r="231" spans="1:15" x14ac:dyDescent="0.3">
      <c r="A231" s="6" t="s">
        <v>676</v>
      </c>
      <c r="B231" s="7" t="s">
        <v>11</v>
      </c>
      <c r="C231" s="6" t="s">
        <v>12</v>
      </c>
      <c r="D231" s="2" t="str">
        <f t="shared" si="15"/>
        <v>Nov</v>
      </c>
      <c r="E231" s="25" t="s">
        <v>140</v>
      </c>
      <c r="F231" s="21" t="s">
        <v>557</v>
      </c>
      <c r="G231" s="21" t="s">
        <v>363</v>
      </c>
      <c r="H231" s="21"/>
      <c r="I231" s="8">
        <v>8000</v>
      </c>
      <c r="J231" s="8">
        <v>0</v>
      </c>
      <c r="K231" s="12" t="s">
        <v>71</v>
      </c>
      <c r="L231">
        <f t="shared" si="16"/>
        <v>1</v>
      </c>
      <c r="M231">
        <f t="shared" ca="1" si="19"/>
        <v>225</v>
      </c>
      <c r="N231" s="15">
        <f t="shared" si="17"/>
        <v>8000</v>
      </c>
      <c r="O231" t="str">
        <f t="shared" ca="1" si="18"/>
        <v>90+ Days</v>
      </c>
    </row>
    <row r="232" spans="1:15" x14ac:dyDescent="0.3">
      <c r="A232" s="2" t="s">
        <v>677</v>
      </c>
      <c r="B232" s="3" t="s">
        <v>120</v>
      </c>
      <c r="C232" s="2" t="s">
        <v>40</v>
      </c>
      <c r="D232" s="2" t="str">
        <f t="shared" si="15"/>
        <v>Mar</v>
      </c>
      <c r="E232" s="24" t="s">
        <v>201</v>
      </c>
      <c r="F232" s="20" t="s">
        <v>16</v>
      </c>
      <c r="G232" s="20" t="s">
        <v>51</v>
      </c>
      <c r="H232" s="20" t="s">
        <v>381</v>
      </c>
      <c r="I232" s="4">
        <v>30000</v>
      </c>
      <c r="J232" s="4">
        <v>30000</v>
      </c>
      <c r="K232" s="5" t="s">
        <v>17</v>
      </c>
      <c r="L232">
        <f t="shared" si="16"/>
        <v>3</v>
      </c>
      <c r="M232">
        <f t="shared" ca="1" si="19"/>
        <v>22</v>
      </c>
      <c r="N232" s="15">
        <f t="shared" si="17"/>
        <v>0</v>
      </c>
      <c r="O232" t="str">
        <f t="shared" ca="1" si="18"/>
        <v>0-30 Days</v>
      </c>
    </row>
    <row r="233" spans="1:15" x14ac:dyDescent="0.3">
      <c r="A233" s="6" t="s">
        <v>678</v>
      </c>
      <c r="B233" s="7" t="s">
        <v>280</v>
      </c>
      <c r="C233" s="6" t="s">
        <v>33</v>
      </c>
      <c r="D233" s="2" t="str">
        <f t="shared" si="15"/>
        <v>Oct</v>
      </c>
      <c r="E233" s="25" t="s">
        <v>126</v>
      </c>
      <c r="F233" s="21" t="s">
        <v>215</v>
      </c>
      <c r="G233" s="21" t="s">
        <v>91</v>
      </c>
      <c r="H233" s="21" t="s">
        <v>362</v>
      </c>
      <c r="I233" s="8">
        <v>40000</v>
      </c>
      <c r="J233" s="8">
        <v>40000</v>
      </c>
      <c r="K233" s="5" t="s">
        <v>17</v>
      </c>
      <c r="L233">
        <f t="shared" si="16"/>
        <v>1</v>
      </c>
      <c r="M233">
        <f t="shared" ca="1" si="19"/>
        <v>9</v>
      </c>
      <c r="N233" s="15">
        <f t="shared" si="17"/>
        <v>0</v>
      </c>
      <c r="O233" t="str">
        <f t="shared" ca="1" si="18"/>
        <v>0-30 Days</v>
      </c>
    </row>
    <row r="234" spans="1:15" x14ac:dyDescent="0.3">
      <c r="A234" s="2" t="s">
        <v>679</v>
      </c>
      <c r="B234" s="3" t="s">
        <v>258</v>
      </c>
      <c r="C234" s="2" t="s">
        <v>33</v>
      </c>
      <c r="D234" s="2" t="str">
        <f t="shared" si="15"/>
        <v>Nov</v>
      </c>
      <c r="E234" s="24" t="s">
        <v>140</v>
      </c>
      <c r="F234" s="20" t="s">
        <v>557</v>
      </c>
      <c r="G234" s="20" t="s">
        <v>363</v>
      </c>
      <c r="H234" s="20"/>
      <c r="I234" s="4">
        <v>50000</v>
      </c>
      <c r="J234" s="4">
        <v>0</v>
      </c>
      <c r="K234" s="10" t="s">
        <v>57</v>
      </c>
      <c r="L234">
        <f t="shared" si="16"/>
        <v>1</v>
      </c>
      <c r="M234">
        <f t="shared" ca="1" si="19"/>
        <v>225</v>
      </c>
      <c r="N234" s="15">
        <f t="shared" si="17"/>
        <v>50000</v>
      </c>
      <c r="O234" t="str">
        <f t="shared" ca="1" si="18"/>
        <v>90+ Days</v>
      </c>
    </row>
    <row r="235" spans="1:15" x14ac:dyDescent="0.3">
      <c r="A235" s="6" t="s">
        <v>680</v>
      </c>
      <c r="B235" s="7" t="s">
        <v>407</v>
      </c>
      <c r="C235" s="6" t="s">
        <v>33</v>
      </c>
      <c r="D235" s="2" t="str">
        <f t="shared" si="15"/>
        <v>Mar</v>
      </c>
      <c r="E235" s="25" t="s">
        <v>681</v>
      </c>
      <c r="F235" s="21" t="s">
        <v>82</v>
      </c>
      <c r="G235" s="21" t="s">
        <v>403</v>
      </c>
      <c r="H235" s="21"/>
      <c r="I235" s="8">
        <v>50000</v>
      </c>
      <c r="J235" s="8">
        <v>0</v>
      </c>
      <c r="K235" s="12" t="s">
        <v>71</v>
      </c>
      <c r="L235">
        <f t="shared" si="16"/>
        <v>3</v>
      </c>
      <c r="M235">
        <f t="shared" ca="1" si="19"/>
        <v>462</v>
      </c>
      <c r="N235" s="15">
        <f t="shared" si="17"/>
        <v>50000</v>
      </c>
      <c r="O235" t="str">
        <f t="shared" ca="1" si="18"/>
        <v>90+ Days</v>
      </c>
    </row>
    <row r="236" spans="1:15" x14ac:dyDescent="0.3">
      <c r="A236" s="2" t="s">
        <v>682</v>
      </c>
      <c r="B236" s="3" t="s">
        <v>587</v>
      </c>
      <c r="C236" s="2" t="s">
        <v>26</v>
      </c>
      <c r="D236" s="2" t="str">
        <f t="shared" si="15"/>
        <v>Dec</v>
      </c>
      <c r="E236" s="24" t="s">
        <v>74</v>
      </c>
      <c r="F236" s="20" t="s">
        <v>75</v>
      </c>
      <c r="G236" s="20" t="s">
        <v>76</v>
      </c>
      <c r="H236" s="20" t="s">
        <v>146</v>
      </c>
      <c r="I236" s="4">
        <v>20000</v>
      </c>
      <c r="J236" s="4">
        <v>20000</v>
      </c>
      <c r="K236" s="5" t="s">
        <v>17</v>
      </c>
      <c r="L236">
        <f t="shared" si="16"/>
        <v>1</v>
      </c>
      <c r="M236">
        <f t="shared" ca="1" si="19"/>
        <v>12</v>
      </c>
      <c r="N236" s="15">
        <f t="shared" si="17"/>
        <v>0</v>
      </c>
      <c r="O236" t="str">
        <f t="shared" ca="1" si="18"/>
        <v>0-30 Days</v>
      </c>
    </row>
    <row r="237" spans="1:15" x14ac:dyDescent="0.3">
      <c r="A237" s="6" t="s">
        <v>683</v>
      </c>
      <c r="B237" s="7" t="s">
        <v>39</v>
      </c>
      <c r="C237" s="6" t="s">
        <v>40</v>
      </c>
      <c r="D237" s="2" t="str">
        <f t="shared" si="15"/>
        <v>Jun</v>
      </c>
      <c r="E237" s="25" t="s">
        <v>397</v>
      </c>
      <c r="F237" s="21" t="s">
        <v>294</v>
      </c>
      <c r="G237" s="21" t="s">
        <v>345</v>
      </c>
      <c r="H237" s="21" t="s">
        <v>310</v>
      </c>
      <c r="I237" s="8">
        <v>25000</v>
      </c>
      <c r="J237" s="8">
        <v>25000</v>
      </c>
      <c r="K237" s="5" t="s">
        <v>17</v>
      </c>
      <c r="L237">
        <f t="shared" si="16"/>
        <v>1</v>
      </c>
      <c r="M237">
        <f t="shared" ca="1" si="19"/>
        <v>9</v>
      </c>
      <c r="N237" s="15">
        <f t="shared" si="17"/>
        <v>0</v>
      </c>
      <c r="O237" t="str">
        <f t="shared" ca="1" si="18"/>
        <v>0-30 Days</v>
      </c>
    </row>
    <row r="238" spans="1:15" x14ac:dyDescent="0.3">
      <c r="A238" s="2" t="s">
        <v>684</v>
      </c>
      <c r="B238" s="3" t="s">
        <v>19</v>
      </c>
      <c r="C238" s="2" t="s">
        <v>12</v>
      </c>
      <c r="D238" s="2" t="str">
        <f t="shared" si="15"/>
        <v>Aug</v>
      </c>
      <c r="E238" s="24" t="s">
        <v>56</v>
      </c>
      <c r="F238" s="20" t="s">
        <v>70</v>
      </c>
      <c r="G238" s="20" t="s">
        <v>291</v>
      </c>
      <c r="H238" s="20"/>
      <c r="I238" s="4">
        <v>15000</v>
      </c>
      <c r="J238" s="4">
        <v>0</v>
      </c>
      <c r="K238" s="12" t="s">
        <v>71</v>
      </c>
      <c r="L238">
        <f t="shared" si="16"/>
        <v>3</v>
      </c>
      <c r="M238">
        <f t="shared" ca="1" si="19"/>
        <v>313</v>
      </c>
      <c r="N238" s="15">
        <f t="shared" si="17"/>
        <v>15000</v>
      </c>
      <c r="O238" t="str">
        <f t="shared" ca="1" si="18"/>
        <v>90+ Days</v>
      </c>
    </row>
    <row r="239" spans="1:15" x14ac:dyDescent="0.3">
      <c r="A239" s="6" t="s">
        <v>685</v>
      </c>
      <c r="B239" s="7" t="s">
        <v>461</v>
      </c>
      <c r="C239" s="6" t="s">
        <v>12</v>
      </c>
      <c r="D239" s="2" t="str">
        <f t="shared" si="15"/>
        <v>Aug</v>
      </c>
      <c r="E239" s="25" t="s">
        <v>321</v>
      </c>
      <c r="F239" s="21" t="s">
        <v>445</v>
      </c>
      <c r="G239" s="21" t="s">
        <v>375</v>
      </c>
      <c r="H239" s="21" t="s">
        <v>400</v>
      </c>
      <c r="I239" s="8">
        <v>45000</v>
      </c>
      <c r="J239" s="8">
        <v>45000</v>
      </c>
      <c r="K239" s="9" t="s">
        <v>45</v>
      </c>
      <c r="L239">
        <f t="shared" si="16"/>
        <v>2</v>
      </c>
      <c r="M239">
        <f t="shared" ca="1" si="19"/>
        <v>45</v>
      </c>
      <c r="N239" s="15">
        <f t="shared" si="17"/>
        <v>0</v>
      </c>
      <c r="O239" t="str">
        <f t="shared" ca="1" si="18"/>
        <v>31-60 Days</v>
      </c>
    </row>
    <row r="240" spans="1:15" x14ac:dyDescent="0.3">
      <c r="A240" s="2" t="s">
        <v>686</v>
      </c>
      <c r="B240" s="3" t="s">
        <v>293</v>
      </c>
      <c r="C240" s="2" t="s">
        <v>12</v>
      </c>
      <c r="D240" s="2" t="str">
        <f t="shared" si="15"/>
        <v>Apr</v>
      </c>
      <c r="E240" s="24" t="s">
        <v>205</v>
      </c>
      <c r="F240" s="20" t="s">
        <v>452</v>
      </c>
      <c r="G240" s="20" t="s">
        <v>385</v>
      </c>
      <c r="H240" s="20"/>
      <c r="I240" s="4">
        <v>8000</v>
      </c>
      <c r="J240" s="4">
        <v>0</v>
      </c>
      <c r="K240" s="12" t="s">
        <v>71</v>
      </c>
      <c r="L240">
        <f t="shared" si="16"/>
        <v>3</v>
      </c>
      <c r="M240">
        <f t="shared" ca="1" si="19"/>
        <v>415</v>
      </c>
      <c r="N240" s="15">
        <f t="shared" si="17"/>
        <v>8000</v>
      </c>
      <c r="O240" t="str">
        <f t="shared" ca="1" si="18"/>
        <v>90+ Days</v>
      </c>
    </row>
    <row r="241" spans="1:15" x14ac:dyDescent="0.3">
      <c r="A241" s="6" t="s">
        <v>687</v>
      </c>
      <c r="B241" s="7" t="s">
        <v>277</v>
      </c>
      <c r="C241" s="6" t="s">
        <v>12</v>
      </c>
      <c r="D241" s="2" t="str">
        <f t="shared" si="15"/>
        <v>Sep</v>
      </c>
      <c r="E241" s="25" t="s">
        <v>118</v>
      </c>
      <c r="F241" s="21" t="s">
        <v>62</v>
      </c>
      <c r="G241" s="21" t="s">
        <v>125</v>
      </c>
      <c r="H241" s="21" t="s">
        <v>274</v>
      </c>
      <c r="I241" s="8">
        <v>22000</v>
      </c>
      <c r="J241" s="8">
        <v>22000</v>
      </c>
      <c r="K241" s="9" t="s">
        <v>45</v>
      </c>
      <c r="L241">
        <f t="shared" si="16"/>
        <v>2</v>
      </c>
      <c r="M241">
        <f t="shared" ca="1" si="19"/>
        <v>31</v>
      </c>
      <c r="N241" s="15">
        <f t="shared" si="17"/>
        <v>0</v>
      </c>
      <c r="O241" t="str">
        <f t="shared" ca="1" si="18"/>
        <v>31-60 Days</v>
      </c>
    </row>
    <row r="242" spans="1:15" x14ac:dyDescent="0.3">
      <c r="A242" s="2" t="s">
        <v>688</v>
      </c>
      <c r="B242" s="3" t="s">
        <v>207</v>
      </c>
      <c r="C242" s="2" t="s">
        <v>12</v>
      </c>
      <c r="D242" s="2" t="str">
        <f t="shared" si="15"/>
        <v>Sep</v>
      </c>
      <c r="E242" s="24" t="s">
        <v>542</v>
      </c>
      <c r="F242" s="20" t="s">
        <v>670</v>
      </c>
      <c r="G242" s="20" t="s">
        <v>432</v>
      </c>
      <c r="H242" s="20" t="s">
        <v>392</v>
      </c>
      <c r="I242" s="4">
        <v>18000</v>
      </c>
      <c r="J242" s="4">
        <v>18000</v>
      </c>
      <c r="K242" s="9" t="s">
        <v>45</v>
      </c>
      <c r="L242">
        <f t="shared" si="16"/>
        <v>2</v>
      </c>
      <c r="M242">
        <f t="shared" ca="1" si="19"/>
        <v>46</v>
      </c>
      <c r="N242" s="15">
        <f t="shared" si="17"/>
        <v>0</v>
      </c>
      <c r="O242" t="str">
        <f t="shared" ca="1" si="18"/>
        <v>31-60 Days</v>
      </c>
    </row>
    <row r="243" spans="1:15" x14ac:dyDescent="0.3">
      <c r="A243" s="6" t="s">
        <v>689</v>
      </c>
      <c r="B243" s="7" t="s">
        <v>309</v>
      </c>
      <c r="C243" s="6" t="s">
        <v>12</v>
      </c>
      <c r="D243" s="2" t="str">
        <f t="shared" si="15"/>
        <v>Aug</v>
      </c>
      <c r="E243" s="25" t="s">
        <v>555</v>
      </c>
      <c r="F243" s="21" t="s">
        <v>626</v>
      </c>
      <c r="G243" s="21" t="s">
        <v>672</v>
      </c>
      <c r="H243" s="21" t="s">
        <v>289</v>
      </c>
      <c r="I243" s="8">
        <v>10000</v>
      </c>
      <c r="J243" s="8">
        <v>10000</v>
      </c>
      <c r="K243" s="5" t="s">
        <v>17</v>
      </c>
      <c r="L243">
        <f t="shared" si="16"/>
        <v>1</v>
      </c>
      <c r="M243">
        <f t="shared" ca="1" si="19"/>
        <v>9</v>
      </c>
      <c r="N243" s="15">
        <f t="shared" si="17"/>
        <v>0</v>
      </c>
      <c r="O243" t="str">
        <f t="shared" ca="1" si="18"/>
        <v>0-30 Days</v>
      </c>
    </row>
    <row r="244" spans="1:15" x14ac:dyDescent="0.3">
      <c r="A244" s="2" t="s">
        <v>690</v>
      </c>
      <c r="B244" s="3" t="s">
        <v>268</v>
      </c>
      <c r="C244" s="2" t="s">
        <v>33</v>
      </c>
      <c r="D244" s="2" t="str">
        <f t="shared" si="15"/>
        <v>Mar</v>
      </c>
      <c r="E244" s="24" t="s">
        <v>201</v>
      </c>
      <c r="F244" s="20" t="s">
        <v>681</v>
      </c>
      <c r="G244" s="20" t="s">
        <v>423</v>
      </c>
      <c r="H244" s="20"/>
      <c r="I244" s="4">
        <v>55000</v>
      </c>
      <c r="J244" s="4">
        <v>0</v>
      </c>
      <c r="K244" s="12" t="s">
        <v>71</v>
      </c>
      <c r="L244">
        <f t="shared" si="16"/>
        <v>2</v>
      </c>
      <c r="M244">
        <f t="shared" ca="1" si="19"/>
        <v>465</v>
      </c>
      <c r="N244" s="15">
        <f t="shared" si="17"/>
        <v>55000</v>
      </c>
      <c r="O244" t="str">
        <f t="shared" ca="1" si="18"/>
        <v>90+ Days</v>
      </c>
    </row>
    <row r="245" spans="1:15" x14ac:dyDescent="0.3">
      <c r="A245" s="6" t="s">
        <v>691</v>
      </c>
      <c r="B245" s="7" t="s">
        <v>65</v>
      </c>
      <c r="C245" s="6" t="s">
        <v>12</v>
      </c>
      <c r="D245" s="2" t="str">
        <f t="shared" si="15"/>
        <v>Nov</v>
      </c>
      <c r="E245" s="25" t="s">
        <v>140</v>
      </c>
      <c r="F245" s="21" t="s">
        <v>447</v>
      </c>
      <c r="G245" s="21" t="s">
        <v>74</v>
      </c>
      <c r="H245" s="21" t="s">
        <v>92</v>
      </c>
      <c r="I245" s="8">
        <v>60000</v>
      </c>
      <c r="J245" s="8">
        <v>60000</v>
      </c>
      <c r="K245" s="5" t="s">
        <v>17</v>
      </c>
      <c r="L245">
        <f t="shared" si="16"/>
        <v>3</v>
      </c>
      <c r="M245">
        <f t="shared" ca="1" si="19"/>
        <v>24</v>
      </c>
      <c r="N245" s="15">
        <f t="shared" si="17"/>
        <v>0</v>
      </c>
      <c r="O245" t="str">
        <f t="shared" ca="1" si="18"/>
        <v>0-30 Days</v>
      </c>
    </row>
    <row r="246" spans="1:15" x14ac:dyDescent="0.3">
      <c r="A246" s="2" t="s">
        <v>692</v>
      </c>
      <c r="B246" s="3" t="s">
        <v>361</v>
      </c>
      <c r="C246" s="2" t="s">
        <v>12</v>
      </c>
      <c r="D246" s="2" t="str">
        <f t="shared" si="15"/>
        <v>Feb</v>
      </c>
      <c r="E246" s="24" t="s">
        <v>314</v>
      </c>
      <c r="F246" s="20" t="s">
        <v>80</v>
      </c>
      <c r="G246" s="20" t="s">
        <v>81</v>
      </c>
      <c r="H246" s="20"/>
      <c r="I246" s="4">
        <v>15000</v>
      </c>
      <c r="J246" s="4">
        <v>0</v>
      </c>
      <c r="K246" s="10" t="s">
        <v>57</v>
      </c>
      <c r="L246">
        <f t="shared" si="16"/>
        <v>3</v>
      </c>
      <c r="M246">
        <f t="shared" ca="1" si="19"/>
        <v>478</v>
      </c>
      <c r="N246" s="15">
        <f t="shared" si="17"/>
        <v>15000</v>
      </c>
      <c r="O246" t="str">
        <f t="shared" ca="1" si="18"/>
        <v>90+ Days</v>
      </c>
    </row>
    <row r="247" spans="1:15" x14ac:dyDescent="0.3">
      <c r="A247" s="6" t="s">
        <v>693</v>
      </c>
      <c r="B247" s="7" t="s">
        <v>115</v>
      </c>
      <c r="C247" s="6" t="s">
        <v>12</v>
      </c>
      <c r="D247" s="2" t="str">
        <f t="shared" si="15"/>
        <v>Oct</v>
      </c>
      <c r="E247" s="25" t="s">
        <v>244</v>
      </c>
      <c r="F247" s="21" t="s">
        <v>694</v>
      </c>
      <c r="G247" s="21" t="s">
        <v>495</v>
      </c>
      <c r="H247" s="21" t="s">
        <v>327</v>
      </c>
      <c r="I247" s="8">
        <v>30000</v>
      </c>
      <c r="J247" s="8">
        <v>30000</v>
      </c>
      <c r="K247" s="5" t="s">
        <v>17</v>
      </c>
      <c r="L247">
        <f t="shared" si="16"/>
        <v>3</v>
      </c>
      <c r="M247">
        <f t="shared" ca="1" si="19"/>
        <v>12</v>
      </c>
      <c r="N247" s="15">
        <f t="shared" si="17"/>
        <v>0</v>
      </c>
      <c r="O247" t="str">
        <f t="shared" ca="1" si="18"/>
        <v>0-30 Days</v>
      </c>
    </row>
    <row r="248" spans="1:15" x14ac:dyDescent="0.3">
      <c r="A248" s="2" t="s">
        <v>695</v>
      </c>
      <c r="B248" s="3" t="s">
        <v>221</v>
      </c>
      <c r="C248" s="2" t="s">
        <v>12</v>
      </c>
      <c r="D248" s="2" t="str">
        <f t="shared" si="15"/>
        <v>Jun</v>
      </c>
      <c r="E248" s="24" t="s">
        <v>43</v>
      </c>
      <c r="F248" s="20" t="s">
        <v>310</v>
      </c>
      <c r="G248" s="20" t="s">
        <v>196</v>
      </c>
      <c r="H248" s="20" t="s">
        <v>54</v>
      </c>
      <c r="I248" s="4">
        <v>12000</v>
      </c>
      <c r="J248" s="4">
        <v>12000</v>
      </c>
      <c r="K248" s="5" t="s">
        <v>17</v>
      </c>
      <c r="L248">
        <f t="shared" si="16"/>
        <v>2</v>
      </c>
      <c r="M248">
        <f t="shared" ca="1" si="19"/>
        <v>8</v>
      </c>
      <c r="N248" s="15">
        <f t="shared" si="17"/>
        <v>0</v>
      </c>
      <c r="O248" t="str">
        <f t="shared" ca="1" si="18"/>
        <v>0-30 Days</v>
      </c>
    </row>
    <row r="249" spans="1:15" x14ac:dyDescent="0.3">
      <c r="A249" s="6" t="s">
        <v>696</v>
      </c>
      <c r="B249" s="7" t="s">
        <v>431</v>
      </c>
      <c r="C249" s="6" t="s">
        <v>12</v>
      </c>
      <c r="D249" s="2" t="str">
        <f t="shared" si="15"/>
        <v>Aug</v>
      </c>
      <c r="E249" s="25" t="s">
        <v>70</v>
      </c>
      <c r="F249" s="21" t="s">
        <v>480</v>
      </c>
      <c r="G249" s="21" t="s">
        <v>483</v>
      </c>
      <c r="H249" s="21" t="s">
        <v>321</v>
      </c>
      <c r="I249" s="8">
        <v>50000</v>
      </c>
      <c r="J249" s="8">
        <v>50000</v>
      </c>
      <c r="K249" s="5" t="s">
        <v>17</v>
      </c>
      <c r="L249">
        <f t="shared" si="16"/>
        <v>2</v>
      </c>
      <c r="M249">
        <f t="shared" ca="1" si="19"/>
        <v>9</v>
      </c>
      <c r="N249" s="15">
        <f t="shared" si="17"/>
        <v>0</v>
      </c>
      <c r="O249" t="str">
        <f t="shared" ca="1" si="18"/>
        <v>0-30 Days</v>
      </c>
    </row>
    <row r="250" spans="1:15" x14ac:dyDescent="0.3">
      <c r="A250" s="2" t="s">
        <v>697</v>
      </c>
      <c r="B250" s="3" t="s">
        <v>90</v>
      </c>
      <c r="C250" s="2" t="s">
        <v>12</v>
      </c>
      <c r="D250" s="2" t="str">
        <f t="shared" si="15"/>
        <v>Aug</v>
      </c>
      <c r="E250" s="24" t="s">
        <v>228</v>
      </c>
      <c r="F250" s="20" t="s">
        <v>341</v>
      </c>
      <c r="G250" s="20" t="s">
        <v>183</v>
      </c>
      <c r="H250" s="20"/>
      <c r="I250" s="4">
        <v>10000</v>
      </c>
      <c r="J250" s="4">
        <v>0</v>
      </c>
      <c r="K250" s="10" t="s">
        <v>57</v>
      </c>
      <c r="L250">
        <f t="shared" si="16"/>
        <v>1</v>
      </c>
      <c r="M250">
        <f t="shared" ca="1" si="19"/>
        <v>288</v>
      </c>
      <c r="N250" s="15">
        <f t="shared" si="17"/>
        <v>10000</v>
      </c>
      <c r="O250" t="str">
        <f t="shared" ca="1" si="18"/>
        <v>90+ Days</v>
      </c>
    </row>
    <row r="251" spans="1:15" x14ac:dyDescent="0.3">
      <c r="A251" s="6" t="s">
        <v>698</v>
      </c>
      <c r="B251" s="7" t="s">
        <v>492</v>
      </c>
      <c r="C251" s="6" t="s">
        <v>26</v>
      </c>
      <c r="D251" s="2" t="str">
        <f t="shared" si="15"/>
        <v>Aug</v>
      </c>
      <c r="E251" s="25" t="s">
        <v>87</v>
      </c>
      <c r="F251" s="21" t="s">
        <v>699</v>
      </c>
      <c r="G251" s="21" t="s">
        <v>131</v>
      </c>
      <c r="H251" s="21"/>
      <c r="I251" s="8">
        <v>100000</v>
      </c>
      <c r="J251" s="8">
        <v>0</v>
      </c>
      <c r="K251" s="10" t="s">
        <v>57</v>
      </c>
      <c r="L251">
        <f t="shared" si="16"/>
        <v>1</v>
      </c>
      <c r="M251">
        <f t="shared" ca="1" si="19"/>
        <v>309</v>
      </c>
      <c r="N251" s="15">
        <f t="shared" si="17"/>
        <v>100000</v>
      </c>
      <c r="O251" t="str">
        <f t="shared" ca="1" si="18"/>
        <v>90+ Days</v>
      </c>
    </row>
    <row r="252" spans="1:15" x14ac:dyDescent="0.3">
      <c r="A252" s="2" t="s">
        <v>700</v>
      </c>
      <c r="B252" s="3" t="s">
        <v>660</v>
      </c>
      <c r="C252" s="2" t="s">
        <v>12</v>
      </c>
      <c r="D252" s="2" t="str">
        <f t="shared" si="15"/>
        <v>Jan</v>
      </c>
      <c r="E252" s="24" t="s">
        <v>550</v>
      </c>
      <c r="F252" s="20" t="s">
        <v>231</v>
      </c>
      <c r="G252" s="20" t="s">
        <v>232</v>
      </c>
      <c r="H252" s="20" t="s">
        <v>22</v>
      </c>
      <c r="I252" s="4">
        <v>55000</v>
      </c>
      <c r="J252" s="4">
        <v>55000</v>
      </c>
      <c r="K252" s="9" t="s">
        <v>45</v>
      </c>
      <c r="L252">
        <f t="shared" si="16"/>
        <v>3</v>
      </c>
      <c r="M252">
        <f t="shared" ca="1" si="19"/>
        <v>52</v>
      </c>
      <c r="N252" s="15">
        <f t="shared" si="17"/>
        <v>0</v>
      </c>
      <c r="O252" t="str">
        <f t="shared" ca="1" si="18"/>
        <v>31-60 Days</v>
      </c>
    </row>
    <row r="253" spans="1:15" x14ac:dyDescent="0.3">
      <c r="A253" s="6" t="s">
        <v>701</v>
      </c>
      <c r="B253" s="7" t="s">
        <v>702</v>
      </c>
      <c r="C253" s="6" t="s">
        <v>40</v>
      </c>
      <c r="D253" s="2" t="str">
        <f t="shared" si="15"/>
        <v>Jul</v>
      </c>
      <c r="E253" s="25" t="s">
        <v>226</v>
      </c>
      <c r="F253" s="21" t="s">
        <v>227</v>
      </c>
      <c r="G253" s="21" t="s">
        <v>228</v>
      </c>
      <c r="H253" s="21"/>
      <c r="I253" s="8">
        <v>18000</v>
      </c>
      <c r="J253" s="8">
        <v>0</v>
      </c>
      <c r="K253" s="10" t="s">
        <v>57</v>
      </c>
      <c r="L253">
        <f t="shared" si="16"/>
        <v>2</v>
      </c>
      <c r="M253">
        <f t="shared" ca="1" si="19"/>
        <v>319</v>
      </c>
      <c r="N253" s="15">
        <f t="shared" si="17"/>
        <v>18000</v>
      </c>
      <c r="O253" t="str">
        <f t="shared" ca="1" si="18"/>
        <v>90+ Days</v>
      </c>
    </row>
    <row r="254" spans="1:15" x14ac:dyDescent="0.3">
      <c r="A254" s="2" t="s">
        <v>703</v>
      </c>
      <c r="B254" s="3" t="s">
        <v>651</v>
      </c>
      <c r="C254" s="2" t="s">
        <v>12</v>
      </c>
      <c r="D254" s="2" t="str">
        <f t="shared" si="15"/>
        <v>Jan</v>
      </c>
      <c r="E254" s="24" t="s">
        <v>704</v>
      </c>
      <c r="F254" s="20" t="s">
        <v>104</v>
      </c>
      <c r="G254" s="20" t="s">
        <v>14</v>
      </c>
      <c r="H254" s="20" t="s">
        <v>79</v>
      </c>
      <c r="I254" s="4">
        <v>60000</v>
      </c>
      <c r="J254" s="4">
        <v>60000</v>
      </c>
      <c r="K254" s="5" t="s">
        <v>17</v>
      </c>
      <c r="L254">
        <f t="shared" si="16"/>
        <v>2</v>
      </c>
      <c r="M254">
        <f t="shared" ca="1" si="19"/>
        <v>23</v>
      </c>
      <c r="N254" s="15">
        <f t="shared" si="17"/>
        <v>0</v>
      </c>
      <c r="O254" t="str">
        <f t="shared" ca="1" si="18"/>
        <v>0-30 Days</v>
      </c>
    </row>
    <row r="255" spans="1:15" x14ac:dyDescent="0.3">
      <c r="A255" s="6" t="s">
        <v>705</v>
      </c>
      <c r="B255" s="7" t="s">
        <v>293</v>
      </c>
      <c r="C255" s="6" t="s">
        <v>12</v>
      </c>
      <c r="D255" s="2" t="str">
        <f t="shared" si="15"/>
        <v>Apr</v>
      </c>
      <c r="E255" s="25" t="s">
        <v>498</v>
      </c>
      <c r="F255" s="21" t="s">
        <v>539</v>
      </c>
      <c r="G255" s="21" t="s">
        <v>152</v>
      </c>
      <c r="H255" s="21" t="s">
        <v>208</v>
      </c>
      <c r="I255" s="8">
        <v>35000</v>
      </c>
      <c r="J255" s="8">
        <v>35000</v>
      </c>
      <c r="K255" s="5" t="s">
        <v>17</v>
      </c>
      <c r="L255">
        <f t="shared" si="16"/>
        <v>1</v>
      </c>
      <c r="M255">
        <f t="shared" ca="1" si="19"/>
        <v>8</v>
      </c>
      <c r="N255" s="15">
        <f t="shared" si="17"/>
        <v>0</v>
      </c>
      <c r="O255" t="str">
        <f t="shared" ca="1" si="18"/>
        <v>0-30 Days</v>
      </c>
    </row>
    <row r="256" spans="1:15" x14ac:dyDescent="0.3">
      <c r="A256" s="2" t="s">
        <v>706</v>
      </c>
      <c r="B256" s="3" t="s">
        <v>347</v>
      </c>
      <c r="C256" s="2" t="s">
        <v>12</v>
      </c>
      <c r="D256" s="2" t="str">
        <f t="shared" si="15"/>
        <v>Oct</v>
      </c>
      <c r="E256" s="24" t="s">
        <v>259</v>
      </c>
      <c r="F256" s="20" t="s">
        <v>707</v>
      </c>
      <c r="G256" s="20" t="s">
        <v>418</v>
      </c>
      <c r="H256" s="20"/>
      <c r="I256" s="4">
        <v>15000</v>
      </c>
      <c r="J256" s="4">
        <v>0</v>
      </c>
      <c r="K256" s="12" t="s">
        <v>71</v>
      </c>
      <c r="L256">
        <f t="shared" si="16"/>
        <v>2</v>
      </c>
      <c r="M256">
        <f t="shared" ca="1" si="19"/>
        <v>245</v>
      </c>
      <c r="N256" s="15">
        <f t="shared" si="17"/>
        <v>15000</v>
      </c>
      <c r="O256" t="str">
        <f t="shared" ca="1" si="18"/>
        <v>90+ Days</v>
      </c>
    </row>
    <row r="257" spans="1:15" x14ac:dyDescent="0.3">
      <c r="A257" s="6" t="s">
        <v>708</v>
      </c>
      <c r="B257" s="7" t="s">
        <v>402</v>
      </c>
      <c r="C257" s="6" t="s">
        <v>12</v>
      </c>
      <c r="D257" s="2" t="str">
        <f t="shared" si="15"/>
        <v>Apr</v>
      </c>
      <c r="E257" s="25" t="s">
        <v>412</v>
      </c>
      <c r="F257" s="21" t="s">
        <v>208</v>
      </c>
      <c r="G257" s="21" t="s">
        <v>386</v>
      </c>
      <c r="H257" s="21"/>
      <c r="I257" s="8">
        <v>55000</v>
      </c>
      <c r="J257" s="8">
        <v>0</v>
      </c>
      <c r="K257" s="11" t="s">
        <v>63</v>
      </c>
      <c r="L257">
        <f t="shared" si="16"/>
        <v>2</v>
      </c>
      <c r="M257">
        <f t="shared" ca="1" si="19"/>
        <v>414</v>
      </c>
      <c r="N257" s="15">
        <f t="shared" si="17"/>
        <v>55000</v>
      </c>
      <c r="O257" t="str">
        <f t="shared" ca="1" si="18"/>
        <v>90+ Days</v>
      </c>
    </row>
    <row r="258" spans="1:15" x14ac:dyDescent="0.3">
      <c r="A258" s="2" t="s">
        <v>709</v>
      </c>
      <c r="B258" s="3" t="s">
        <v>68</v>
      </c>
      <c r="C258" s="2" t="s">
        <v>33</v>
      </c>
      <c r="D258" s="2" t="str">
        <f t="shared" si="15"/>
        <v>Nov</v>
      </c>
      <c r="E258" s="24" t="s">
        <v>278</v>
      </c>
      <c r="F258" s="20" t="s">
        <v>260</v>
      </c>
      <c r="G258" s="20" t="s">
        <v>631</v>
      </c>
      <c r="H258" s="20" t="s">
        <v>275</v>
      </c>
      <c r="I258" s="4">
        <v>55000</v>
      </c>
      <c r="J258" s="4">
        <v>55000</v>
      </c>
      <c r="K258" s="5" t="s">
        <v>17</v>
      </c>
      <c r="L258">
        <f t="shared" si="16"/>
        <v>3</v>
      </c>
      <c r="M258">
        <f t="shared" ca="1" si="19"/>
        <v>26</v>
      </c>
      <c r="N258" s="15">
        <f t="shared" si="17"/>
        <v>0</v>
      </c>
      <c r="O258" t="str">
        <f t="shared" ca="1" si="18"/>
        <v>0-30 Days</v>
      </c>
    </row>
    <row r="259" spans="1:15" x14ac:dyDescent="0.3">
      <c r="A259" s="6" t="s">
        <v>710</v>
      </c>
      <c r="B259" s="7" t="s">
        <v>434</v>
      </c>
      <c r="C259" s="6" t="s">
        <v>12</v>
      </c>
      <c r="D259" s="2" t="str">
        <f t="shared" ref="D259:D322" si="20">MID(E259, 4, 3)</f>
        <v>May</v>
      </c>
      <c r="E259" s="25" t="s">
        <v>151</v>
      </c>
      <c r="F259" s="21" t="s">
        <v>109</v>
      </c>
      <c r="G259" s="21" t="s">
        <v>661</v>
      </c>
      <c r="H259" s="21" t="s">
        <v>507</v>
      </c>
      <c r="I259" s="8">
        <v>25000</v>
      </c>
      <c r="J259" s="8">
        <v>25000</v>
      </c>
      <c r="K259" s="5" t="s">
        <v>17</v>
      </c>
      <c r="L259">
        <f t="shared" ref="L259:L322" si="21">F259-E259</f>
        <v>1</v>
      </c>
      <c r="M259">
        <f t="shared" ca="1" si="19"/>
        <v>14</v>
      </c>
      <c r="N259" s="15">
        <f t="shared" ref="N259:N322" si="22">I259-J259</f>
        <v>0</v>
      </c>
      <c r="O259" t="str">
        <f t="shared" ref="O259:O322" ca="1" si="23">IF(M259&lt;=30,"0-30 Days",
IF(M259&lt;=60,"31-60 Days",
IF(M259&lt;=90,"61-90 Days","90+ Days")))</f>
        <v>0-30 Days</v>
      </c>
    </row>
    <row r="260" spans="1:15" x14ac:dyDescent="0.3">
      <c r="A260" s="2" t="s">
        <v>711</v>
      </c>
      <c r="B260" s="3" t="s">
        <v>500</v>
      </c>
      <c r="C260" s="2" t="s">
        <v>12</v>
      </c>
      <c r="D260" s="2" t="str">
        <f t="shared" si="20"/>
        <v>Jun</v>
      </c>
      <c r="E260" s="24" t="s">
        <v>353</v>
      </c>
      <c r="F260" s="20" t="s">
        <v>712</v>
      </c>
      <c r="G260" s="20" t="s">
        <v>226</v>
      </c>
      <c r="H260" s="20"/>
      <c r="I260" s="4">
        <v>25000</v>
      </c>
      <c r="J260" s="4">
        <v>0</v>
      </c>
      <c r="K260" s="10" t="s">
        <v>57</v>
      </c>
      <c r="L260">
        <f t="shared" si="21"/>
        <v>1</v>
      </c>
      <c r="M260">
        <f t="shared" ref="M260:M323" ca="1" si="24">IF(H260="",TODAY()-F260,H260-F260)</f>
        <v>351</v>
      </c>
      <c r="N260" s="15">
        <f t="shared" si="22"/>
        <v>25000</v>
      </c>
      <c r="O260" t="str">
        <f t="shared" ca="1" si="23"/>
        <v>90+ Days</v>
      </c>
    </row>
    <row r="261" spans="1:15" x14ac:dyDescent="0.3">
      <c r="A261" s="6" t="s">
        <v>713</v>
      </c>
      <c r="B261" s="7" t="s">
        <v>494</v>
      </c>
      <c r="C261" s="6" t="s">
        <v>12</v>
      </c>
      <c r="D261" s="2" t="str">
        <f t="shared" si="20"/>
        <v>Dec</v>
      </c>
      <c r="E261" s="25" t="s">
        <v>363</v>
      </c>
      <c r="F261" s="21" t="s">
        <v>74</v>
      </c>
      <c r="G261" s="21" t="s">
        <v>408</v>
      </c>
      <c r="H261" s="21" t="s">
        <v>390</v>
      </c>
      <c r="I261" s="8">
        <v>10000</v>
      </c>
      <c r="J261" s="8">
        <v>10000</v>
      </c>
      <c r="K261" s="5" t="s">
        <v>17</v>
      </c>
      <c r="L261">
        <f t="shared" si="21"/>
        <v>2</v>
      </c>
      <c r="M261">
        <f t="shared" ca="1" si="24"/>
        <v>25</v>
      </c>
      <c r="N261" s="15">
        <f t="shared" si="22"/>
        <v>0</v>
      </c>
      <c r="O261" t="str">
        <f t="shared" ca="1" si="23"/>
        <v>0-30 Days</v>
      </c>
    </row>
    <row r="262" spans="1:15" x14ac:dyDescent="0.3">
      <c r="A262" s="2" t="s">
        <v>714</v>
      </c>
      <c r="B262" s="3" t="s">
        <v>32</v>
      </c>
      <c r="C262" s="2" t="s">
        <v>33</v>
      </c>
      <c r="D262" s="2" t="str">
        <f t="shared" si="20"/>
        <v>Feb</v>
      </c>
      <c r="E262" s="24" t="s">
        <v>29</v>
      </c>
      <c r="F262" s="20" t="s">
        <v>265</v>
      </c>
      <c r="G262" s="20" t="s">
        <v>48</v>
      </c>
      <c r="H262" s="20" t="s">
        <v>16</v>
      </c>
      <c r="I262" s="4">
        <v>45000</v>
      </c>
      <c r="J262" s="4">
        <v>45000</v>
      </c>
      <c r="K262" s="5" t="s">
        <v>17</v>
      </c>
      <c r="L262">
        <f t="shared" si="21"/>
        <v>3</v>
      </c>
      <c r="M262">
        <f t="shared" ca="1" si="24"/>
        <v>18</v>
      </c>
      <c r="N262" s="15">
        <f t="shared" si="22"/>
        <v>0</v>
      </c>
      <c r="O262" t="str">
        <f t="shared" ca="1" si="23"/>
        <v>0-30 Days</v>
      </c>
    </row>
    <row r="263" spans="1:15" x14ac:dyDescent="0.3">
      <c r="A263" s="6" t="s">
        <v>715</v>
      </c>
      <c r="B263" s="7" t="s">
        <v>716</v>
      </c>
      <c r="C263" s="6" t="s">
        <v>12</v>
      </c>
      <c r="D263" s="2" t="str">
        <f t="shared" si="20"/>
        <v>Jun</v>
      </c>
      <c r="E263" s="25" t="s">
        <v>427</v>
      </c>
      <c r="F263" s="21" t="s">
        <v>310</v>
      </c>
      <c r="G263" s="21" t="s">
        <v>196</v>
      </c>
      <c r="H263" s="21" t="s">
        <v>475</v>
      </c>
      <c r="I263" s="8">
        <v>100000</v>
      </c>
      <c r="J263" s="8">
        <v>100000</v>
      </c>
      <c r="K263" s="5" t="s">
        <v>17</v>
      </c>
      <c r="L263">
        <f t="shared" si="21"/>
        <v>1</v>
      </c>
      <c r="M263">
        <f t="shared" ca="1" si="24"/>
        <v>15</v>
      </c>
      <c r="N263" s="15">
        <f t="shared" si="22"/>
        <v>0</v>
      </c>
      <c r="O263" t="str">
        <f t="shared" ca="1" si="23"/>
        <v>0-30 Days</v>
      </c>
    </row>
    <row r="264" spans="1:15" x14ac:dyDescent="0.3">
      <c r="A264" s="2" t="s">
        <v>717</v>
      </c>
      <c r="B264" s="3" t="s">
        <v>718</v>
      </c>
      <c r="C264" s="2" t="s">
        <v>12</v>
      </c>
      <c r="D264" s="2" t="str">
        <f t="shared" si="20"/>
        <v>Oct</v>
      </c>
      <c r="E264" s="24" t="s">
        <v>121</v>
      </c>
      <c r="F264" s="20" t="s">
        <v>392</v>
      </c>
      <c r="G264" s="20" t="s">
        <v>547</v>
      </c>
      <c r="H264" s="20" t="s">
        <v>37</v>
      </c>
      <c r="I264" s="4">
        <v>10000</v>
      </c>
      <c r="J264" s="4">
        <v>2500</v>
      </c>
      <c r="K264" s="13" t="s">
        <v>113</v>
      </c>
      <c r="L264">
        <f t="shared" si="21"/>
        <v>3</v>
      </c>
      <c r="M264">
        <f t="shared" ca="1" si="24"/>
        <v>14</v>
      </c>
      <c r="N264" s="15">
        <f t="shared" si="22"/>
        <v>7500</v>
      </c>
      <c r="O264" t="str">
        <f t="shared" ca="1" si="23"/>
        <v>0-30 Days</v>
      </c>
    </row>
    <row r="265" spans="1:15" x14ac:dyDescent="0.3">
      <c r="A265" s="6" t="s">
        <v>719</v>
      </c>
      <c r="B265" s="7" t="s">
        <v>150</v>
      </c>
      <c r="C265" s="6" t="s">
        <v>33</v>
      </c>
      <c r="D265" s="2" t="str">
        <f t="shared" si="20"/>
        <v>Nov</v>
      </c>
      <c r="E265" s="25" t="s">
        <v>418</v>
      </c>
      <c r="F265" s="21" t="s">
        <v>260</v>
      </c>
      <c r="G265" s="21" t="s">
        <v>631</v>
      </c>
      <c r="H265" s="21" t="s">
        <v>275</v>
      </c>
      <c r="I265" s="8">
        <v>10000</v>
      </c>
      <c r="J265" s="8">
        <v>10000</v>
      </c>
      <c r="K265" s="5" t="s">
        <v>17</v>
      </c>
      <c r="L265">
        <f t="shared" si="21"/>
        <v>1</v>
      </c>
      <c r="M265">
        <f t="shared" ca="1" si="24"/>
        <v>26</v>
      </c>
      <c r="N265" s="15">
        <f t="shared" si="22"/>
        <v>0</v>
      </c>
      <c r="O265" t="str">
        <f t="shared" ca="1" si="23"/>
        <v>0-30 Days</v>
      </c>
    </row>
    <row r="266" spans="1:15" x14ac:dyDescent="0.3">
      <c r="A266" s="2" t="s">
        <v>720</v>
      </c>
      <c r="B266" s="3" t="s">
        <v>124</v>
      </c>
      <c r="C266" s="2" t="s">
        <v>12</v>
      </c>
      <c r="D266" s="2" t="str">
        <f t="shared" si="20"/>
        <v>Sep</v>
      </c>
      <c r="E266" s="24" t="s">
        <v>291</v>
      </c>
      <c r="F266" s="20" t="s">
        <v>484</v>
      </c>
      <c r="G266" s="20" t="s">
        <v>243</v>
      </c>
      <c r="H266" s="20" t="s">
        <v>535</v>
      </c>
      <c r="I266" s="4">
        <v>22000</v>
      </c>
      <c r="J266" s="4">
        <v>22000</v>
      </c>
      <c r="K266" s="5" t="s">
        <v>17</v>
      </c>
      <c r="L266">
        <f t="shared" si="21"/>
        <v>3</v>
      </c>
      <c r="M266">
        <f t="shared" ca="1" si="24"/>
        <v>11</v>
      </c>
      <c r="N266" s="15">
        <f t="shared" si="22"/>
        <v>0</v>
      </c>
      <c r="O266" t="str">
        <f t="shared" ca="1" si="23"/>
        <v>0-30 Days</v>
      </c>
    </row>
    <row r="267" spans="1:15" x14ac:dyDescent="0.3">
      <c r="A267" s="6" t="s">
        <v>721</v>
      </c>
      <c r="B267" s="7" t="s">
        <v>150</v>
      </c>
      <c r="C267" s="6" t="s">
        <v>33</v>
      </c>
      <c r="D267" s="2" t="str">
        <f t="shared" si="20"/>
        <v>Sep</v>
      </c>
      <c r="E267" s="25" t="s">
        <v>535</v>
      </c>
      <c r="F267" s="21" t="s">
        <v>158</v>
      </c>
      <c r="G267" s="21" t="s">
        <v>392</v>
      </c>
      <c r="H267" s="21" t="s">
        <v>432</v>
      </c>
      <c r="I267" s="8">
        <v>100000</v>
      </c>
      <c r="J267" s="8">
        <v>100000</v>
      </c>
      <c r="K267" s="5" t="s">
        <v>17</v>
      </c>
      <c r="L267">
        <f t="shared" si="21"/>
        <v>1</v>
      </c>
      <c r="M267">
        <f t="shared" ca="1" si="24"/>
        <v>14</v>
      </c>
      <c r="N267" s="15">
        <f t="shared" si="22"/>
        <v>0</v>
      </c>
      <c r="O267" t="str">
        <f t="shared" ca="1" si="23"/>
        <v>0-30 Days</v>
      </c>
    </row>
    <row r="268" spans="1:15" x14ac:dyDescent="0.3">
      <c r="A268" s="2" t="s">
        <v>722</v>
      </c>
      <c r="B268" s="3" t="s">
        <v>380</v>
      </c>
      <c r="C268" s="2" t="s">
        <v>12</v>
      </c>
      <c r="D268" s="2" t="str">
        <f t="shared" si="20"/>
        <v>Dec</v>
      </c>
      <c r="E268" s="24" t="s">
        <v>631</v>
      </c>
      <c r="F268" s="20" t="s">
        <v>573</v>
      </c>
      <c r="G268" s="20" t="s">
        <v>192</v>
      </c>
      <c r="H268" s="20" t="s">
        <v>653</v>
      </c>
      <c r="I268" s="4">
        <v>35000</v>
      </c>
      <c r="J268" s="4">
        <v>35000</v>
      </c>
      <c r="K268" s="5" t="s">
        <v>17</v>
      </c>
      <c r="L268">
        <f t="shared" si="21"/>
        <v>3</v>
      </c>
      <c r="M268">
        <f t="shared" ca="1" si="24"/>
        <v>14</v>
      </c>
      <c r="N268" s="15">
        <f t="shared" si="22"/>
        <v>0</v>
      </c>
      <c r="O268" t="str">
        <f t="shared" ca="1" si="23"/>
        <v>0-30 Days</v>
      </c>
    </row>
    <row r="269" spans="1:15" x14ac:dyDescent="0.3">
      <c r="A269" s="6" t="s">
        <v>723</v>
      </c>
      <c r="B269" s="7" t="s">
        <v>73</v>
      </c>
      <c r="C269" s="6" t="s">
        <v>26</v>
      </c>
      <c r="D269" s="2" t="str">
        <f t="shared" si="20"/>
        <v>Apr</v>
      </c>
      <c r="E269" s="25" t="s">
        <v>204</v>
      </c>
      <c r="F269" s="21" t="s">
        <v>405</v>
      </c>
      <c r="G269" s="21" t="s">
        <v>426</v>
      </c>
      <c r="H269" s="21" t="s">
        <v>223</v>
      </c>
      <c r="I269" s="8">
        <v>8000</v>
      </c>
      <c r="J269" s="8">
        <v>8000</v>
      </c>
      <c r="K269" s="5" t="s">
        <v>17</v>
      </c>
      <c r="L269">
        <f t="shared" si="21"/>
        <v>2</v>
      </c>
      <c r="M269">
        <f t="shared" ca="1" si="24"/>
        <v>14</v>
      </c>
      <c r="N269" s="15">
        <f t="shared" si="22"/>
        <v>0</v>
      </c>
      <c r="O269" t="str">
        <f t="shared" ca="1" si="23"/>
        <v>0-30 Days</v>
      </c>
    </row>
    <row r="270" spans="1:15" x14ac:dyDescent="0.3">
      <c r="A270" s="2" t="s">
        <v>724</v>
      </c>
      <c r="B270" s="3" t="s">
        <v>252</v>
      </c>
      <c r="C270" s="2" t="s">
        <v>12</v>
      </c>
      <c r="D270" s="2" t="str">
        <f t="shared" si="20"/>
        <v>Mar</v>
      </c>
      <c r="E270" s="24" t="s">
        <v>217</v>
      </c>
      <c r="F270" s="20" t="s">
        <v>202</v>
      </c>
      <c r="G270" s="20" t="s">
        <v>240</v>
      </c>
      <c r="H270" s="20" t="s">
        <v>725</v>
      </c>
      <c r="I270" s="4">
        <v>60000</v>
      </c>
      <c r="J270" s="4">
        <v>60000</v>
      </c>
      <c r="K270" s="5" t="s">
        <v>17</v>
      </c>
      <c r="L270">
        <f t="shared" si="21"/>
        <v>2</v>
      </c>
      <c r="M270">
        <f t="shared" ca="1" si="24"/>
        <v>5</v>
      </c>
      <c r="N270" s="15">
        <f t="shared" si="22"/>
        <v>0</v>
      </c>
      <c r="O270" t="str">
        <f t="shared" ca="1" si="23"/>
        <v>0-30 Days</v>
      </c>
    </row>
    <row r="271" spans="1:15" x14ac:dyDescent="0.3">
      <c r="A271" s="6" t="s">
        <v>726</v>
      </c>
      <c r="B271" s="7" t="s">
        <v>727</v>
      </c>
      <c r="C271" s="6" t="s">
        <v>12</v>
      </c>
      <c r="D271" s="2" t="str">
        <f t="shared" si="20"/>
        <v>Aug</v>
      </c>
      <c r="E271" s="25" t="s">
        <v>480</v>
      </c>
      <c r="F271" s="21" t="s">
        <v>87</v>
      </c>
      <c r="G271" s="21" t="s">
        <v>484</v>
      </c>
      <c r="H271" s="21" t="s">
        <v>291</v>
      </c>
      <c r="I271" s="8">
        <v>20000</v>
      </c>
      <c r="J271" s="8">
        <v>20000</v>
      </c>
      <c r="K271" s="5" t="s">
        <v>17</v>
      </c>
      <c r="L271">
        <f t="shared" si="21"/>
        <v>1</v>
      </c>
      <c r="M271">
        <f t="shared" ca="1" si="24"/>
        <v>27</v>
      </c>
      <c r="N271" s="15">
        <f t="shared" si="22"/>
        <v>0</v>
      </c>
      <c r="O271" t="str">
        <f t="shared" ca="1" si="23"/>
        <v>0-30 Days</v>
      </c>
    </row>
    <row r="272" spans="1:15" x14ac:dyDescent="0.3">
      <c r="A272" s="2" t="s">
        <v>728</v>
      </c>
      <c r="B272" s="3" t="s">
        <v>78</v>
      </c>
      <c r="C272" s="2" t="s">
        <v>33</v>
      </c>
      <c r="D272" s="2" t="str">
        <f t="shared" si="20"/>
        <v>Sep</v>
      </c>
      <c r="E272" s="24" t="s">
        <v>490</v>
      </c>
      <c r="F272" s="20" t="s">
        <v>322</v>
      </c>
      <c r="G272" s="20" t="s">
        <v>623</v>
      </c>
      <c r="H272" s="20" t="s">
        <v>34</v>
      </c>
      <c r="I272" s="4">
        <v>100000</v>
      </c>
      <c r="J272" s="4">
        <v>100000</v>
      </c>
      <c r="K272" s="5" t="s">
        <v>17</v>
      </c>
      <c r="L272">
        <f t="shared" si="21"/>
        <v>3</v>
      </c>
      <c r="M272">
        <f t="shared" ca="1" si="24"/>
        <v>28</v>
      </c>
      <c r="N272" s="15">
        <f t="shared" si="22"/>
        <v>0</v>
      </c>
      <c r="O272" t="str">
        <f t="shared" ca="1" si="23"/>
        <v>0-30 Days</v>
      </c>
    </row>
    <row r="273" spans="1:15" x14ac:dyDescent="0.3">
      <c r="A273" s="6" t="s">
        <v>729</v>
      </c>
      <c r="B273" s="7" t="s">
        <v>73</v>
      </c>
      <c r="C273" s="6" t="s">
        <v>26</v>
      </c>
      <c r="D273" s="2" t="str">
        <f t="shared" si="20"/>
        <v>Aug</v>
      </c>
      <c r="E273" s="25" t="s">
        <v>195</v>
      </c>
      <c r="F273" s="21" t="s">
        <v>730</v>
      </c>
      <c r="G273" s="21" t="s">
        <v>667</v>
      </c>
      <c r="H273" s="21" t="s">
        <v>617</v>
      </c>
      <c r="I273" s="8">
        <v>22000</v>
      </c>
      <c r="J273" s="8">
        <v>16500</v>
      </c>
      <c r="K273" s="13" t="s">
        <v>113</v>
      </c>
      <c r="L273">
        <f t="shared" si="21"/>
        <v>1</v>
      </c>
      <c r="M273">
        <f t="shared" ca="1" si="24"/>
        <v>25</v>
      </c>
      <c r="N273" s="15">
        <f t="shared" si="22"/>
        <v>5500</v>
      </c>
      <c r="O273" t="str">
        <f t="shared" ca="1" si="23"/>
        <v>0-30 Days</v>
      </c>
    </row>
    <row r="274" spans="1:15" x14ac:dyDescent="0.3">
      <c r="A274" s="2" t="s">
        <v>731</v>
      </c>
      <c r="B274" s="3" t="s">
        <v>124</v>
      </c>
      <c r="C274" s="2" t="s">
        <v>12</v>
      </c>
      <c r="D274" s="2" t="str">
        <f t="shared" si="20"/>
        <v>Oct</v>
      </c>
      <c r="E274" s="24" t="s">
        <v>392</v>
      </c>
      <c r="F274" s="20" t="s">
        <v>307</v>
      </c>
      <c r="G274" s="20" t="s">
        <v>732</v>
      </c>
      <c r="H274" s="20" t="s">
        <v>245</v>
      </c>
      <c r="I274" s="4">
        <v>18000</v>
      </c>
      <c r="J274" s="4">
        <v>18000</v>
      </c>
      <c r="K274" s="5" t="s">
        <v>17</v>
      </c>
      <c r="L274">
        <f t="shared" si="21"/>
        <v>2</v>
      </c>
      <c r="M274">
        <f t="shared" ca="1" si="24"/>
        <v>17</v>
      </c>
      <c r="N274" s="15">
        <f t="shared" si="22"/>
        <v>0</v>
      </c>
      <c r="O274" t="str">
        <f t="shared" ca="1" si="23"/>
        <v>0-30 Days</v>
      </c>
    </row>
    <row r="275" spans="1:15" x14ac:dyDescent="0.3">
      <c r="A275" s="6" t="s">
        <v>733</v>
      </c>
      <c r="B275" s="7" t="s">
        <v>734</v>
      </c>
      <c r="C275" s="6" t="s">
        <v>33</v>
      </c>
      <c r="D275" s="2" t="str">
        <f t="shared" si="20"/>
        <v>Jun</v>
      </c>
      <c r="E275" s="25" t="s">
        <v>294</v>
      </c>
      <c r="F275" s="21" t="s">
        <v>661</v>
      </c>
      <c r="G275" s="21" t="s">
        <v>608</v>
      </c>
      <c r="H275" s="21"/>
      <c r="I275" s="8">
        <v>22000</v>
      </c>
      <c r="J275" s="8">
        <v>0</v>
      </c>
      <c r="K275" s="10" t="s">
        <v>57</v>
      </c>
      <c r="L275">
        <f t="shared" si="21"/>
        <v>1</v>
      </c>
      <c r="M275">
        <f t="shared" ca="1" si="24"/>
        <v>364</v>
      </c>
      <c r="N275" s="15">
        <f t="shared" si="22"/>
        <v>22000</v>
      </c>
      <c r="O275" t="str">
        <f t="shared" ca="1" si="23"/>
        <v>90+ Days</v>
      </c>
    </row>
    <row r="276" spans="1:15" x14ac:dyDescent="0.3">
      <c r="A276" s="2" t="s">
        <v>735</v>
      </c>
      <c r="B276" s="3" t="s">
        <v>176</v>
      </c>
      <c r="C276" s="2" t="s">
        <v>12</v>
      </c>
      <c r="D276" s="2" t="str">
        <f t="shared" si="20"/>
        <v>Feb</v>
      </c>
      <c r="E276" s="24" t="s">
        <v>358</v>
      </c>
      <c r="F276" s="20" t="s">
        <v>247</v>
      </c>
      <c r="G276" s="20" t="s">
        <v>725</v>
      </c>
      <c r="H276" s="20" t="s">
        <v>217</v>
      </c>
      <c r="I276" s="4">
        <v>15000</v>
      </c>
      <c r="J276" s="4">
        <v>15000</v>
      </c>
      <c r="K276" s="5" t="s">
        <v>17</v>
      </c>
      <c r="L276">
        <f t="shared" si="21"/>
        <v>2</v>
      </c>
      <c r="M276">
        <f t="shared" ca="1" si="24"/>
        <v>23</v>
      </c>
      <c r="N276" s="15">
        <f t="shared" si="22"/>
        <v>0</v>
      </c>
      <c r="O276" t="str">
        <f t="shared" ca="1" si="23"/>
        <v>0-30 Days</v>
      </c>
    </row>
    <row r="277" spans="1:15" x14ac:dyDescent="0.3">
      <c r="A277" s="6" t="s">
        <v>736</v>
      </c>
      <c r="B277" s="7" t="s">
        <v>108</v>
      </c>
      <c r="C277" s="6" t="s">
        <v>12</v>
      </c>
      <c r="D277" s="2" t="str">
        <f t="shared" si="20"/>
        <v>Sep</v>
      </c>
      <c r="E277" s="25" t="s">
        <v>62</v>
      </c>
      <c r="F277" s="21" t="s">
        <v>737</v>
      </c>
      <c r="G277" s="21" t="s">
        <v>274</v>
      </c>
      <c r="H277" s="21"/>
      <c r="I277" s="8">
        <v>12000</v>
      </c>
      <c r="J277" s="8">
        <v>0</v>
      </c>
      <c r="K277" s="10" t="s">
        <v>57</v>
      </c>
      <c r="L277">
        <f t="shared" si="21"/>
        <v>1</v>
      </c>
      <c r="M277">
        <f t="shared" ca="1" si="24"/>
        <v>262</v>
      </c>
      <c r="N277" s="15">
        <f t="shared" si="22"/>
        <v>12000</v>
      </c>
      <c r="O277" t="str">
        <f t="shared" ca="1" si="23"/>
        <v>90+ Days</v>
      </c>
    </row>
    <row r="278" spans="1:15" x14ac:dyDescent="0.3">
      <c r="A278" s="2" t="s">
        <v>738</v>
      </c>
      <c r="B278" s="3" t="s">
        <v>306</v>
      </c>
      <c r="C278" s="2" t="s">
        <v>12</v>
      </c>
      <c r="D278" s="2" t="str">
        <f t="shared" si="20"/>
        <v>Jun</v>
      </c>
      <c r="E278" s="24" t="s">
        <v>43</v>
      </c>
      <c r="F278" s="20" t="s">
        <v>427</v>
      </c>
      <c r="G278" s="20" t="s">
        <v>355</v>
      </c>
      <c r="H278" s="20"/>
      <c r="I278" s="4">
        <v>75000</v>
      </c>
      <c r="J278" s="4">
        <v>0</v>
      </c>
      <c r="K278" s="12" t="s">
        <v>71</v>
      </c>
      <c r="L278">
        <f t="shared" si="21"/>
        <v>1</v>
      </c>
      <c r="M278">
        <f t="shared" ca="1" si="24"/>
        <v>357</v>
      </c>
      <c r="N278" s="15">
        <f t="shared" si="22"/>
        <v>75000</v>
      </c>
      <c r="O278" t="str">
        <f t="shared" ca="1" si="23"/>
        <v>90+ Days</v>
      </c>
    </row>
    <row r="279" spans="1:15" x14ac:dyDescent="0.3">
      <c r="A279" s="6" t="s">
        <v>739</v>
      </c>
      <c r="B279" s="7" t="s">
        <v>212</v>
      </c>
      <c r="C279" s="6" t="s">
        <v>12</v>
      </c>
      <c r="D279" s="2" t="str">
        <f t="shared" si="20"/>
        <v>Sep</v>
      </c>
      <c r="E279" s="25" t="s">
        <v>375</v>
      </c>
      <c r="F279" s="21" t="s">
        <v>213</v>
      </c>
      <c r="G279" s="21" t="s">
        <v>214</v>
      </c>
      <c r="H279" s="21" t="s">
        <v>597</v>
      </c>
      <c r="I279" s="8">
        <v>15000</v>
      </c>
      <c r="J279" s="8">
        <v>15000</v>
      </c>
      <c r="K279" s="5" t="s">
        <v>17</v>
      </c>
      <c r="L279">
        <f t="shared" si="21"/>
        <v>3</v>
      </c>
      <c r="M279">
        <f t="shared" ca="1" si="24"/>
        <v>11</v>
      </c>
      <c r="N279" s="15">
        <f t="shared" si="22"/>
        <v>0</v>
      </c>
      <c r="O279" t="str">
        <f t="shared" ca="1" si="23"/>
        <v>0-30 Days</v>
      </c>
    </row>
    <row r="280" spans="1:15" x14ac:dyDescent="0.3">
      <c r="A280" s="2" t="s">
        <v>740</v>
      </c>
      <c r="B280" s="3" t="s">
        <v>718</v>
      </c>
      <c r="C280" s="2" t="s">
        <v>12</v>
      </c>
      <c r="D280" s="2" t="str">
        <f t="shared" si="20"/>
        <v>Jun</v>
      </c>
      <c r="E280" s="24" t="s">
        <v>741</v>
      </c>
      <c r="F280" s="20" t="s">
        <v>712</v>
      </c>
      <c r="G280" s="20" t="s">
        <v>226</v>
      </c>
      <c r="H280" s="20" t="s">
        <v>85</v>
      </c>
      <c r="I280" s="4">
        <v>20000</v>
      </c>
      <c r="J280" s="4">
        <v>20000</v>
      </c>
      <c r="K280" s="5" t="s">
        <v>17</v>
      </c>
      <c r="L280">
        <f t="shared" si="21"/>
        <v>2</v>
      </c>
      <c r="M280">
        <f t="shared" ca="1" si="24"/>
        <v>9</v>
      </c>
      <c r="N280" s="15">
        <f t="shared" si="22"/>
        <v>0</v>
      </c>
      <c r="O280" t="str">
        <f t="shared" ca="1" si="23"/>
        <v>0-30 Days</v>
      </c>
    </row>
    <row r="281" spans="1:15" x14ac:dyDescent="0.3">
      <c r="A281" s="6" t="s">
        <v>742</v>
      </c>
      <c r="B281" s="7" t="s">
        <v>570</v>
      </c>
      <c r="C281" s="6" t="s">
        <v>33</v>
      </c>
      <c r="D281" s="2" t="str">
        <f t="shared" si="20"/>
        <v>Apr</v>
      </c>
      <c r="E281" s="25" t="s">
        <v>477</v>
      </c>
      <c r="F281" s="21" t="s">
        <v>240</v>
      </c>
      <c r="G281" s="21" t="s">
        <v>404</v>
      </c>
      <c r="H281" s="21"/>
      <c r="I281" s="8">
        <v>20000</v>
      </c>
      <c r="J281" s="8">
        <v>0</v>
      </c>
      <c r="K281" s="12" t="s">
        <v>71</v>
      </c>
      <c r="L281">
        <f t="shared" si="21"/>
        <v>1</v>
      </c>
      <c r="M281">
        <f t="shared" ca="1" si="24"/>
        <v>429</v>
      </c>
      <c r="N281" s="15">
        <f t="shared" si="22"/>
        <v>20000</v>
      </c>
      <c r="O281" t="str">
        <f t="shared" ca="1" si="23"/>
        <v>90+ Days</v>
      </c>
    </row>
    <row r="282" spans="1:15" x14ac:dyDescent="0.3">
      <c r="A282" s="2" t="s">
        <v>743</v>
      </c>
      <c r="B282" s="3" t="s">
        <v>115</v>
      </c>
      <c r="C282" s="2" t="s">
        <v>12</v>
      </c>
      <c r="D282" s="2" t="str">
        <f t="shared" si="20"/>
        <v>Feb</v>
      </c>
      <c r="E282" s="24" t="s">
        <v>649</v>
      </c>
      <c r="F282" s="20" t="s">
        <v>429</v>
      </c>
      <c r="G282" s="20" t="s">
        <v>82</v>
      </c>
      <c r="H282" s="20" t="s">
        <v>262</v>
      </c>
      <c r="I282" s="4">
        <v>35000</v>
      </c>
      <c r="J282" s="4">
        <v>35000</v>
      </c>
      <c r="K282" s="5" t="s">
        <v>17</v>
      </c>
      <c r="L282">
        <f t="shared" si="21"/>
        <v>1</v>
      </c>
      <c r="M282">
        <f t="shared" ca="1" si="24"/>
        <v>23</v>
      </c>
      <c r="N282" s="15">
        <f t="shared" si="22"/>
        <v>0</v>
      </c>
      <c r="O282" t="str">
        <f t="shared" ca="1" si="23"/>
        <v>0-30 Days</v>
      </c>
    </row>
    <row r="283" spans="1:15" x14ac:dyDescent="0.3">
      <c r="A283" s="6" t="s">
        <v>744</v>
      </c>
      <c r="B283" s="7" t="s">
        <v>160</v>
      </c>
      <c r="C283" s="6" t="s">
        <v>40</v>
      </c>
      <c r="D283" s="2" t="str">
        <f t="shared" si="20"/>
        <v>Oct</v>
      </c>
      <c r="E283" s="25" t="s">
        <v>273</v>
      </c>
      <c r="F283" s="21" t="s">
        <v>125</v>
      </c>
      <c r="G283" s="21" t="s">
        <v>271</v>
      </c>
      <c r="H283" s="21"/>
      <c r="I283" s="8">
        <v>75000</v>
      </c>
      <c r="J283" s="8">
        <v>0</v>
      </c>
      <c r="K283" s="10" t="s">
        <v>57</v>
      </c>
      <c r="L283">
        <f t="shared" si="21"/>
        <v>2</v>
      </c>
      <c r="M283">
        <f t="shared" ca="1" si="24"/>
        <v>233</v>
      </c>
      <c r="N283" s="15">
        <f t="shared" si="22"/>
        <v>75000</v>
      </c>
      <c r="O283" t="str">
        <f t="shared" ca="1" si="23"/>
        <v>90+ Days</v>
      </c>
    </row>
    <row r="284" spans="1:15" x14ac:dyDescent="0.3">
      <c r="A284" s="2" t="s">
        <v>745</v>
      </c>
      <c r="B284" s="3" t="s">
        <v>529</v>
      </c>
      <c r="C284" s="2" t="s">
        <v>12</v>
      </c>
      <c r="D284" s="2" t="str">
        <f t="shared" si="20"/>
        <v>Jun</v>
      </c>
      <c r="E284" s="24" t="s">
        <v>368</v>
      </c>
      <c r="F284" s="20" t="s">
        <v>746</v>
      </c>
      <c r="G284" s="20" t="s">
        <v>747</v>
      </c>
      <c r="H284" s="20" t="s">
        <v>178</v>
      </c>
      <c r="I284" s="4">
        <v>22000</v>
      </c>
      <c r="J284" s="4">
        <v>22000</v>
      </c>
      <c r="K284" s="5" t="s">
        <v>17</v>
      </c>
      <c r="L284">
        <f t="shared" si="21"/>
        <v>1</v>
      </c>
      <c r="M284">
        <f t="shared" ca="1" si="24"/>
        <v>19</v>
      </c>
      <c r="N284" s="15">
        <f t="shared" si="22"/>
        <v>0</v>
      </c>
      <c r="O284" t="str">
        <f t="shared" ca="1" si="23"/>
        <v>0-30 Days</v>
      </c>
    </row>
    <row r="285" spans="1:15" x14ac:dyDescent="0.3">
      <c r="A285" s="6" t="s">
        <v>748</v>
      </c>
      <c r="B285" s="7" t="s">
        <v>529</v>
      </c>
      <c r="C285" s="6" t="s">
        <v>12</v>
      </c>
      <c r="D285" s="2" t="str">
        <f t="shared" si="20"/>
        <v>Jun</v>
      </c>
      <c r="E285" s="25" t="s">
        <v>560</v>
      </c>
      <c r="F285" s="21" t="s">
        <v>154</v>
      </c>
      <c r="G285" s="21" t="s">
        <v>348</v>
      </c>
      <c r="H285" s="21" t="s">
        <v>655</v>
      </c>
      <c r="I285" s="8">
        <v>8000</v>
      </c>
      <c r="J285" s="8">
        <v>8000</v>
      </c>
      <c r="K285" s="5" t="s">
        <v>17</v>
      </c>
      <c r="L285">
        <f t="shared" si="21"/>
        <v>2</v>
      </c>
      <c r="M285">
        <f t="shared" ca="1" si="24"/>
        <v>7</v>
      </c>
      <c r="N285" s="15">
        <f t="shared" si="22"/>
        <v>0</v>
      </c>
      <c r="O285" t="str">
        <f t="shared" ca="1" si="23"/>
        <v>0-30 Days</v>
      </c>
    </row>
    <row r="286" spans="1:15" x14ac:dyDescent="0.3">
      <c r="A286" s="2" t="s">
        <v>749</v>
      </c>
      <c r="B286" s="3" t="s">
        <v>750</v>
      </c>
      <c r="C286" s="2" t="s">
        <v>40</v>
      </c>
      <c r="D286" s="2" t="str">
        <f t="shared" si="20"/>
        <v>Aug</v>
      </c>
      <c r="E286" s="24" t="s">
        <v>96</v>
      </c>
      <c r="F286" s="20" t="s">
        <v>61</v>
      </c>
      <c r="G286" s="20" t="s">
        <v>62</v>
      </c>
      <c r="H286" s="20" t="s">
        <v>131</v>
      </c>
      <c r="I286" s="4">
        <v>8000</v>
      </c>
      <c r="J286" s="4">
        <v>8000</v>
      </c>
      <c r="K286" s="5" t="s">
        <v>17</v>
      </c>
      <c r="L286">
        <f t="shared" si="21"/>
        <v>2</v>
      </c>
      <c r="M286">
        <f t="shared" ca="1" si="24"/>
        <v>14</v>
      </c>
      <c r="N286" s="15">
        <f t="shared" si="22"/>
        <v>0</v>
      </c>
      <c r="O286" t="str">
        <f t="shared" ca="1" si="23"/>
        <v>0-30 Days</v>
      </c>
    </row>
    <row r="287" spans="1:15" x14ac:dyDescent="0.3">
      <c r="A287" s="6" t="s">
        <v>751</v>
      </c>
      <c r="B287" s="7" t="s">
        <v>212</v>
      </c>
      <c r="C287" s="6" t="s">
        <v>12</v>
      </c>
      <c r="D287" s="2" t="str">
        <f t="shared" si="20"/>
        <v>Nov</v>
      </c>
      <c r="E287" s="25" t="s">
        <v>127</v>
      </c>
      <c r="F287" s="21" t="s">
        <v>91</v>
      </c>
      <c r="G287" s="21" t="s">
        <v>544</v>
      </c>
      <c r="H287" s="21" t="s">
        <v>190</v>
      </c>
      <c r="I287" s="8">
        <v>45000</v>
      </c>
      <c r="J287" s="8">
        <v>45000</v>
      </c>
      <c r="K287" s="5" t="s">
        <v>17</v>
      </c>
      <c r="L287">
        <f t="shared" si="21"/>
        <v>1</v>
      </c>
      <c r="M287">
        <f t="shared" ca="1" si="24"/>
        <v>23</v>
      </c>
      <c r="N287" s="15">
        <f t="shared" si="22"/>
        <v>0</v>
      </c>
      <c r="O287" t="str">
        <f t="shared" ca="1" si="23"/>
        <v>0-30 Days</v>
      </c>
    </row>
    <row r="288" spans="1:15" x14ac:dyDescent="0.3">
      <c r="A288" s="2" t="s">
        <v>752</v>
      </c>
      <c r="B288" s="3" t="s">
        <v>521</v>
      </c>
      <c r="C288" s="2" t="s">
        <v>33</v>
      </c>
      <c r="D288" s="2" t="str">
        <f t="shared" si="20"/>
        <v>Jan</v>
      </c>
      <c r="E288" s="24" t="s">
        <v>753</v>
      </c>
      <c r="F288" s="20" t="s">
        <v>754</v>
      </c>
      <c r="G288" s="20" t="s">
        <v>80</v>
      </c>
      <c r="H288" s="20" t="s">
        <v>66</v>
      </c>
      <c r="I288" s="4">
        <v>30000</v>
      </c>
      <c r="J288" s="4">
        <v>30000</v>
      </c>
      <c r="K288" s="5" t="s">
        <v>17</v>
      </c>
      <c r="L288">
        <f t="shared" si="21"/>
        <v>2</v>
      </c>
      <c r="M288">
        <f t="shared" ca="1" si="24"/>
        <v>20</v>
      </c>
      <c r="N288" s="15">
        <f t="shared" si="22"/>
        <v>0</v>
      </c>
      <c r="O288" t="str">
        <f t="shared" ca="1" si="23"/>
        <v>0-30 Days</v>
      </c>
    </row>
    <row r="289" spans="1:15" x14ac:dyDescent="0.3">
      <c r="A289" s="6" t="s">
        <v>755</v>
      </c>
      <c r="B289" s="7" t="s">
        <v>293</v>
      </c>
      <c r="C289" s="6" t="s">
        <v>12</v>
      </c>
      <c r="D289" s="2" t="str">
        <f t="shared" si="20"/>
        <v>Mar</v>
      </c>
      <c r="E289" s="25" t="s">
        <v>725</v>
      </c>
      <c r="F289" s="21" t="s">
        <v>249</v>
      </c>
      <c r="G289" s="21" t="s">
        <v>498</v>
      </c>
      <c r="H289" s="21" t="s">
        <v>237</v>
      </c>
      <c r="I289" s="8">
        <v>22000</v>
      </c>
      <c r="J289" s="8">
        <v>22000</v>
      </c>
      <c r="K289" s="5" t="s">
        <v>17</v>
      </c>
      <c r="L289">
        <f t="shared" si="21"/>
        <v>1</v>
      </c>
      <c r="M289">
        <f t="shared" ca="1" si="24"/>
        <v>15</v>
      </c>
      <c r="N289" s="15">
        <f t="shared" si="22"/>
        <v>0</v>
      </c>
      <c r="O289" t="str">
        <f t="shared" ca="1" si="23"/>
        <v>0-30 Days</v>
      </c>
    </row>
    <row r="290" spans="1:15" x14ac:dyDescent="0.3">
      <c r="A290" s="2" t="s">
        <v>756</v>
      </c>
      <c r="B290" s="3" t="s">
        <v>309</v>
      </c>
      <c r="C290" s="2" t="s">
        <v>12</v>
      </c>
      <c r="D290" s="2" t="str">
        <f t="shared" si="20"/>
        <v>Feb</v>
      </c>
      <c r="E290" s="24" t="s">
        <v>66</v>
      </c>
      <c r="F290" s="20" t="s">
        <v>29</v>
      </c>
      <c r="G290" s="20" t="s">
        <v>181</v>
      </c>
      <c r="H290" s="20" t="s">
        <v>23</v>
      </c>
      <c r="I290" s="4">
        <v>25000</v>
      </c>
      <c r="J290" s="4">
        <v>25000</v>
      </c>
      <c r="K290" s="5" t="s">
        <v>17</v>
      </c>
      <c r="L290">
        <f t="shared" si="21"/>
        <v>3</v>
      </c>
      <c r="M290">
        <f t="shared" ca="1" si="24"/>
        <v>27</v>
      </c>
      <c r="N290" s="15">
        <f t="shared" si="22"/>
        <v>0</v>
      </c>
      <c r="O290" t="str">
        <f t="shared" ca="1" si="23"/>
        <v>0-30 Days</v>
      </c>
    </row>
    <row r="291" spans="1:15" x14ac:dyDescent="0.3">
      <c r="A291" s="6" t="s">
        <v>757</v>
      </c>
      <c r="B291" s="7" t="s">
        <v>242</v>
      </c>
      <c r="C291" s="6" t="s">
        <v>12</v>
      </c>
      <c r="D291" s="2" t="str">
        <f t="shared" si="20"/>
        <v>Aug</v>
      </c>
      <c r="E291" s="25" t="s">
        <v>730</v>
      </c>
      <c r="F291" s="21" t="s">
        <v>555</v>
      </c>
      <c r="G291" s="21" t="s">
        <v>117</v>
      </c>
      <c r="H291" s="21" t="s">
        <v>737</v>
      </c>
      <c r="I291" s="8">
        <v>45000</v>
      </c>
      <c r="J291" s="8">
        <v>45000</v>
      </c>
      <c r="K291" s="9" t="s">
        <v>45</v>
      </c>
      <c r="L291">
        <f t="shared" si="21"/>
        <v>3</v>
      </c>
      <c r="M291">
        <f t="shared" ca="1" si="24"/>
        <v>42</v>
      </c>
      <c r="N291" s="15">
        <f t="shared" si="22"/>
        <v>0</v>
      </c>
      <c r="O291" t="str">
        <f t="shared" ca="1" si="23"/>
        <v>31-60 Days</v>
      </c>
    </row>
    <row r="292" spans="1:15" x14ac:dyDescent="0.3">
      <c r="A292" s="2" t="s">
        <v>758</v>
      </c>
      <c r="B292" s="3" t="s">
        <v>658</v>
      </c>
      <c r="C292" s="2" t="s">
        <v>12</v>
      </c>
      <c r="D292" s="2" t="str">
        <f t="shared" si="20"/>
        <v>May</v>
      </c>
      <c r="E292" s="24" t="s">
        <v>426</v>
      </c>
      <c r="F292" s="20" t="s">
        <v>385</v>
      </c>
      <c r="G292" s="20" t="s">
        <v>311</v>
      </c>
      <c r="H292" s="20"/>
      <c r="I292" s="4">
        <v>18000</v>
      </c>
      <c r="J292" s="4">
        <v>0</v>
      </c>
      <c r="K292" s="12" t="s">
        <v>71</v>
      </c>
      <c r="L292">
        <f t="shared" si="21"/>
        <v>2</v>
      </c>
      <c r="M292">
        <f t="shared" ca="1" si="24"/>
        <v>385</v>
      </c>
      <c r="N292" s="15">
        <f t="shared" si="22"/>
        <v>18000</v>
      </c>
      <c r="O292" t="str">
        <f t="shared" ca="1" si="23"/>
        <v>90+ Days</v>
      </c>
    </row>
    <row r="293" spans="1:15" x14ac:dyDescent="0.3">
      <c r="A293" s="6" t="s">
        <v>759</v>
      </c>
      <c r="B293" s="7" t="s">
        <v>380</v>
      </c>
      <c r="C293" s="6" t="s">
        <v>12</v>
      </c>
      <c r="D293" s="2" t="str">
        <f t="shared" si="20"/>
        <v>Nov</v>
      </c>
      <c r="E293" s="25" t="s">
        <v>557</v>
      </c>
      <c r="F293" s="21" t="s">
        <v>37</v>
      </c>
      <c r="G293" s="21" t="s">
        <v>141</v>
      </c>
      <c r="H293" s="21" t="s">
        <v>495</v>
      </c>
      <c r="I293" s="8">
        <v>75000</v>
      </c>
      <c r="J293" s="8">
        <v>75000</v>
      </c>
      <c r="K293" s="5" t="s">
        <v>17</v>
      </c>
      <c r="L293">
        <f t="shared" si="21"/>
        <v>1</v>
      </c>
      <c r="M293">
        <f t="shared" ca="1" si="24"/>
        <v>8</v>
      </c>
      <c r="N293" s="15">
        <f t="shared" si="22"/>
        <v>0</v>
      </c>
      <c r="O293" t="str">
        <f t="shared" ca="1" si="23"/>
        <v>0-30 Days</v>
      </c>
    </row>
    <row r="294" spans="1:15" x14ac:dyDescent="0.3">
      <c r="A294" s="2" t="s">
        <v>760</v>
      </c>
      <c r="B294" s="3" t="s">
        <v>660</v>
      </c>
      <c r="C294" s="2" t="s">
        <v>12</v>
      </c>
      <c r="D294" s="2" t="str">
        <f t="shared" si="20"/>
        <v>Dec</v>
      </c>
      <c r="E294" s="24" t="s">
        <v>631</v>
      </c>
      <c r="F294" s="20" t="s">
        <v>409</v>
      </c>
      <c r="G294" s="20" t="s">
        <v>761</v>
      </c>
      <c r="H294" s="20" t="s">
        <v>283</v>
      </c>
      <c r="I294" s="4">
        <v>60000</v>
      </c>
      <c r="J294" s="4">
        <v>60000</v>
      </c>
      <c r="K294" s="5" t="s">
        <v>17</v>
      </c>
      <c r="L294">
        <f t="shared" si="21"/>
        <v>2</v>
      </c>
      <c r="M294">
        <f t="shared" ca="1" si="24"/>
        <v>26</v>
      </c>
      <c r="N294" s="15">
        <f t="shared" si="22"/>
        <v>0</v>
      </c>
      <c r="O294" t="str">
        <f t="shared" ca="1" si="23"/>
        <v>0-30 Days</v>
      </c>
    </row>
    <row r="295" spans="1:15" x14ac:dyDescent="0.3">
      <c r="A295" s="6" t="s">
        <v>762</v>
      </c>
      <c r="B295" s="7" t="s">
        <v>389</v>
      </c>
      <c r="C295" s="6" t="s">
        <v>12</v>
      </c>
      <c r="D295" s="2" t="str">
        <f t="shared" si="20"/>
        <v>Mar</v>
      </c>
      <c r="E295" s="25" t="s">
        <v>181</v>
      </c>
      <c r="F295" s="21" t="s">
        <v>249</v>
      </c>
      <c r="G295" s="21" t="s">
        <v>498</v>
      </c>
      <c r="H295" s="21" t="s">
        <v>205</v>
      </c>
      <c r="I295" s="8">
        <v>10000</v>
      </c>
      <c r="J295" s="8">
        <v>10000</v>
      </c>
      <c r="K295" s="9" t="s">
        <v>45</v>
      </c>
      <c r="L295">
        <f t="shared" si="21"/>
        <v>2</v>
      </c>
      <c r="M295">
        <f t="shared" ca="1" si="24"/>
        <v>35</v>
      </c>
      <c r="N295" s="15">
        <f t="shared" si="22"/>
        <v>0</v>
      </c>
      <c r="O295" t="str">
        <f t="shared" ca="1" si="23"/>
        <v>31-60 Days</v>
      </c>
    </row>
    <row r="296" spans="1:15" x14ac:dyDescent="0.3">
      <c r="A296" s="2" t="s">
        <v>763</v>
      </c>
      <c r="B296" s="3" t="s">
        <v>347</v>
      </c>
      <c r="C296" s="2" t="s">
        <v>12</v>
      </c>
      <c r="D296" s="2" t="str">
        <f t="shared" si="20"/>
        <v>Jun</v>
      </c>
      <c r="E296" s="24" t="s">
        <v>177</v>
      </c>
      <c r="F296" s="20" t="s">
        <v>368</v>
      </c>
      <c r="G296" s="20" t="s">
        <v>86</v>
      </c>
      <c r="H296" s="20" t="s">
        <v>69</v>
      </c>
      <c r="I296" s="4">
        <v>12000</v>
      </c>
      <c r="J296" s="4">
        <v>12000</v>
      </c>
      <c r="K296" s="5" t="s">
        <v>17</v>
      </c>
      <c r="L296">
        <f t="shared" si="21"/>
        <v>3</v>
      </c>
      <c r="M296">
        <f t="shared" ca="1" si="24"/>
        <v>27</v>
      </c>
      <c r="N296" s="15">
        <f t="shared" si="22"/>
        <v>0</v>
      </c>
      <c r="O296" t="str">
        <f t="shared" ca="1" si="23"/>
        <v>0-30 Days</v>
      </c>
    </row>
    <row r="297" spans="1:15" x14ac:dyDescent="0.3">
      <c r="A297" s="6" t="s">
        <v>764</v>
      </c>
      <c r="B297" s="7" t="s">
        <v>180</v>
      </c>
      <c r="C297" s="6" t="s">
        <v>33</v>
      </c>
      <c r="D297" s="2" t="str">
        <f t="shared" si="20"/>
        <v>Jun</v>
      </c>
      <c r="E297" s="25" t="s">
        <v>177</v>
      </c>
      <c r="F297" s="21" t="s">
        <v>368</v>
      </c>
      <c r="G297" s="21" t="s">
        <v>86</v>
      </c>
      <c r="H297" s="21" t="s">
        <v>765</v>
      </c>
      <c r="I297" s="8">
        <v>12000</v>
      </c>
      <c r="J297" s="8">
        <v>12000</v>
      </c>
      <c r="K297" s="9" t="s">
        <v>45</v>
      </c>
      <c r="L297">
        <f t="shared" si="21"/>
        <v>3</v>
      </c>
      <c r="M297">
        <f t="shared" ca="1" si="24"/>
        <v>41</v>
      </c>
      <c r="N297" s="15">
        <f t="shared" si="22"/>
        <v>0</v>
      </c>
      <c r="O297" t="str">
        <f t="shared" ca="1" si="23"/>
        <v>31-60 Days</v>
      </c>
    </row>
    <row r="298" spans="1:15" x14ac:dyDescent="0.3">
      <c r="A298" s="2" t="s">
        <v>766</v>
      </c>
      <c r="B298" s="3" t="s">
        <v>285</v>
      </c>
      <c r="C298" s="2" t="s">
        <v>12</v>
      </c>
      <c r="D298" s="2" t="str">
        <f t="shared" si="20"/>
        <v>Dec</v>
      </c>
      <c r="E298" s="24" t="s">
        <v>275</v>
      </c>
      <c r="F298" s="20" t="s">
        <v>286</v>
      </c>
      <c r="G298" s="20" t="s">
        <v>287</v>
      </c>
      <c r="H298" s="20" t="s">
        <v>394</v>
      </c>
      <c r="I298" s="4">
        <v>45000</v>
      </c>
      <c r="J298" s="4">
        <v>45000</v>
      </c>
      <c r="K298" s="5" t="s">
        <v>17</v>
      </c>
      <c r="L298">
        <f t="shared" si="21"/>
        <v>3</v>
      </c>
      <c r="M298">
        <f t="shared" ca="1" si="24"/>
        <v>26</v>
      </c>
      <c r="N298" s="15">
        <f t="shared" si="22"/>
        <v>0</v>
      </c>
      <c r="O298" t="str">
        <f t="shared" ca="1" si="23"/>
        <v>0-30 Days</v>
      </c>
    </row>
    <row r="299" spans="1:15" x14ac:dyDescent="0.3">
      <c r="A299" s="6" t="s">
        <v>767</v>
      </c>
      <c r="B299" s="7" t="s">
        <v>124</v>
      </c>
      <c r="C299" s="6" t="s">
        <v>12</v>
      </c>
      <c r="D299" s="2" t="str">
        <f t="shared" si="20"/>
        <v>Sep</v>
      </c>
      <c r="E299" s="25" t="s">
        <v>589</v>
      </c>
      <c r="F299" s="21" t="s">
        <v>535</v>
      </c>
      <c r="G299" s="21" t="s">
        <v>602</v>
      </c>
      <c r="H299" s="21" t="s">
        <v>172</v>
      </c>
      <c r="I299" s="8">
        <v>5000</v>
      </c>
      <c r="J299" s="8">
        <v>5000</v>
      </c>
      <c r="K299" s="5" t="s">
        <v>17</v>
      </c>
      <c r="L299">
        <f t="shared" si="21"/>
        <v>2</v>
      </c>
      <c r="M299">
        <f t="shared" ca="1" si="24"/>
        <v>10</v>
      </c>
      <c r="N299" s="15">
        <f t="shared" si="22"/>
        <v>0</v>
      </c>
      <c r="O299" t="str">
        <f t="shared" ca="1" si="23"/>
        <v>0-30 Days</v>
      </c>
    </row>
    <row r="300" spans="1:15" x14ac:dyDescent="0.3">
      <c r="A300" s="2" t="s">
        <v>768</v>
      </c>
      <c r="B300" s="3" t="s">
        <v>252</v>
      </c>
      <c r="C300" s="2" t="s">
        <v>12</v>
      </c>
      <c r="D300" s="2" t="str">
        <f t="shared" si="20"/>
        <v>Jun</v>
      </c>
      <c r="E300" s="24" t="s">
        <v>427</v>
      </c>
      <c r="F300" s="20" t="s">
        <v>311</v>
      </c>
      <c r="G300" s="20" t="s">
        <v>253</v>
      </c>
      <c r="H300" s="20" t="s">
        <v>55</v>
      </c>
      <c r="I300" s="4">
        <v>30000</v>
      </c>
      <c r="J300" s="4">
        <v>30000</v>
      </c>
      <c r="K300" s="5" t="s">
        <v>17</v>
      </c>
      <c r="L300">
        <f t="shared" si="21"/>
        <v>2</v>
      </c>
      <c r="M300">
        <f t="shared" ca="1" si="24"/>
        <v>9</v>
      </c>
      <c r="N300" s="15">
        <f t="shared" si="22"/>
        <v>0</v>
      </c>
      <c r="O300" t="str">
        <f t="shared" ca="1" si="23"/>
        <v>0-30 Days</v>
      </c>
    </row>
    <row r="301" spans="1:15" x14ac:dyDescent="0.3">
      <c r="A301" s="6" t="s">
        <v>769</v>
      </c>
      <c r="B301" s="7" t="s">
        <v>135</v>
      </c>
      <c r="C301" s="6" t="s">
        <v>33</v>
      </c>
      <c r="D301" s="2" t="str">
        <f t="shared" si="20"/>
        <v>Feb</v>
      </c>
      <c r="E301" s="25" t="s">
        <v>429</v>
      </c>
      <c r="F301" s="21" t="s">
        <v>770</v>
      </c>
      <c r="G301" s="21" t="s">
        <v>771</v>
      </c>
      <c r="H301" s="21" t="s">
        <v>232</v>
      </c>
      <c r="I301" s="8">
        <v>15000</v>
      </c>
      <c r="J301" s="8">
        <v>15000</v>
      </c>
      <c r="K301" s="5" t="s">
        <v>17</v>
      </c>
      <c r="L301">
        <f t="shared" si="21"/>
        <v>2</v>
      </c>
      <c r="M301">
        <f t="shared" ca="1" si="24"/>
        <v>22</v>
      </c>
      <c r="N301" s="15">
        <f t="shared" si="22"/>
        <v>0</v>
      </c>
      <c r="O301" t="str">
        <f t="shared" ca="1" si="23"/>
        <v>0-30 Days</v>
      </c>
    </row>
    <row r="302" spans="1:15" x14ac:dyDescent="0.3">
      <c r="A302" s="2" t="s">
        <v>772</v>
      </c>
      <c r="B302" s="3" t="s">
        <v>19</v>
      </c>
      <c r="C302" s="2" t="s">
        <v>12</v>
      </c>
      <c r="D302" s="2" t="str">
        <f t="shared" si="20"/>
        <v>Sep</v>
      </c>
      <c r="E302" s="24" t="s">
        <v>737</v>
      </c>
      <c r="F302" s="20" t="s">
        <v>629</v>
      </c>
      <c r="G302" s="20" t="s">
        <v>126</v>
      </c>
      <c r="H302" s="20"/>
      <c r="I302" s="4">
        <v>75000</v>
      </c>
      <c r="J302" s="4">
        <v>0</v>
      </c>
      <c r="K302" s="10" t="s">
        <v>57</v>
      </c>
      <c r="L302">
        <f t="shared" si="21"/>
        <v>1</v>
      </c>
      <c r="M302">
        <f t="shared" ca="1" si="24"/>
        <v>261</v>
      </c>
      <c r="N302" s="15">
        <f t="shared" si="22"/>
        <v>75000</v>
      </c>
      <c r="O302" t="str">
        <f t="shared" ca="1" si="23"/>
        <v>90+ Days</v>
      </c>
    </row>
    <row r="303" spans="1:15" x14ac:dyDescent="0.3">
      <c r="A303" s="6" t="s">
        <v>773</v>
      </c>
      <c r="B303" s="7" t="s">
        <v>68</v>
      </c>
      <c r="C303" s="6" t="s">
        <v>33</v>
      </c>
      <c r="D303" s="2" t="str">
        <f t="shared" si="20"/>
        <v>Mar</v>
      </c>
      <c r="E303" s="25" t="s">
        <v>16</v>
      </c>
      <c r="F303" s="21" t="s">
        <v>217</v>
      </c>
      <c r="G303" s="21" t="s">
        <v>218</v>
      </c>
      <c r="H303" s="21" t="s">
        <v>49</v>
      </c>
      <c r="I303" s="8">
        <v>12000</v>
      </c>
      <c r="J303" s="8">
        <v>12000</v>
      </c>
      <c r="K303" s="5" t="s">
        <v>17</v>
      </c>
      <c r="L303">
        <f t="shared" si="21"/>
        <v>3</v>
      </c>
      <c r="M303">
        <f t="shared" ca="1" si="24"/>
        <v>10</v>
      </c>
      <c r="N303" s="15">
        <f t="shared" si="22"/>
        <v>0</v>
      </c>
      <c r="O303" t="str">
        <f t="shared" ca="1" si="23"/>
        <v>0-30 Days</v>
      </c>
    </row>
    <row r="304" spans="1:15" x14ac:dyDescent="0.3">
      <c r="A304" s="2" t="s">
        <v>774</v>
      </c>
      <c r="B304" s="3" t="s">
        <v>434</v>
      </c>
      <c r="C304" s="2" t="s">
        <v>12</v>
      </c>
      <c r="D304" s="2" t="str">
        <f t="shared" si="20"/>
        <v>Nov</v>
      </c>
      <c r="E304" s="24" t="s">
        <v>373</v>
      </c>
      <c r="F304" s="20" t="s">
        <v>122</v>
      </c>
      <c r="G304" s="20" t="s">
        <v>573</v>
      </c>
      <c r="H304" s="20" t="s">
        <v>363</v>
      </c>
      <c r="I304" s="4">
        <v>22000</v>
      </c>
      <c r="J304" s="4">
        <v>22000</v>
      </c>
      <c r="K304" s="5" t="s">
        <v>17</v>
      </c>
      <c r="L304">
        <f t="shared" si="21"/>
        <v>1</v>
      </c>
      <c r="M304">
        <f t="shared" ca="1" si="24"/>
        <v>16</v>
      </c>
      <c r="N304" s="15">
        <f t="shared" si="22"/>
        <v>0</v>
      </c>
      <c r="O304" t="str">
        <f t="shared" ca="1" si="23"/>
        <v>0-30 Days</v>
      </c>
    </row>
    <row r="305" spans="1:15" x14ac:dyDescent="0.3">
      <c r="A305" s="6" t="s">
        <v>775</v>
      </c>
      <c r="B305" s="7" t="s">
        <v>380</v>
      </c>
      <c r="C305" s="6" t="s">
        <v>12</v>
      </c>
      <c r="D305" s="2" t="str">
        <f t="shared" si="20"/>
        <v>May</v>
      </c>
      <c r="E305" s="25" t="s">
        <v>564</v>
      </c>
      <c r="F305" s="21" t="s">
        <v>411</v>
      </c>
      <c r="G305" s="21" t="s">
        <v>369</v>
      </c>
      <c r="H305" s="21"/>
      <c r="I305" s="8">
        <v>60000</v>
      </c>
      <c r="J305" s="8">
        <v>0</v>
      </c>
      <c r="K305" s="12" t="s">
        <v>71</v>
      </c>
      <c r="L305">
        <f t="shared" si="21"/>
        <v>2</v>
      </c>
      <c r="M305">
        <f t="shared" ca="1" si="24"/>
        <v>408</v>
      </c>
      <c r="N305" s="15">
        <f t="shared" si="22"/>
        <v>60000</v>
      </c>
      <c r="O305" t="str">
        <f t="shared" ca="1" si="23"/>
        <v>90+ Days</v>
      </c>
    </row>
    <row r="306" spans="1:15" x14ac:dyDescent="0.3">
      <c r="A306" s="2" t="s">
        <v>776</v>
      </c>
      <c r="B306" s="3" t="s">
        <v>258</v>
      </c>
      <c r="C306" s="2" t="s">
        <v>33</v>
      </c>
      <c r="D306" s="2" t="str">
        <f t="shared" si="20"/>
        <v>Aug</v>
      </c>
      <c r="E306" s="24" t="s">
        <v>321</v>
      </c>
      <c r="F306" s="20" t="s">
        <v>534</v>
      </c>
      <c r="G306" s="20" t="s">
        <v>589</v>
      </c>
      <c r="H306" s="20" t="s">
        <v>483</v>
      </c>
      <c r="I306" s="4">
        <v>55000</v>
      </c>
      <c r="J306" s="4">
        <v>55000</v>
      </c>
      <c r="K306" s="5" t="s">
        <v>17</v>
      </c>
      <c r="L306">
        <f t="shared" si="21"/>
        <v>1</v>
      </c>
      <c r="M306">
        <f t="shared" ca="1" si="24"/>
        <v>20</v>
      </c>
      <c r="N306" s="15">
        <f t="shared" si="22"/>
        <v>0</v>
      </c>
      <c r="O306" t="str">
        <f t="shared" ca="1" si="23"/>
        <v>0-30 Days</v>
      </c>
    </row>
    <row r="307" spans="1:15" x14ac:dyDescent="0.3">
      <c r="A307" s="6" t="s">
        <v>777</v>
      </c>
      <c r="B307" s="7" t="s">
        <v>365</v>
      </c>
      <c r="C307" s="6" t="s">
        <v>40</v>
      </c>
      <c r="D307" s="2" t="str">
        <f t="shared" si="20"/>
        <v>Jul</v>
      </c>
      <c r="E307" s="25" t="s">
        <v>69</v>
      </c>
      <c r="F307" s="21" t="s">
        <v>86</v>
      </c>
      <c r="G307" s="21" t="s">
        <v>87</v>
      </c>
      <c r="H307" s="21" t="s">
        <v>196</v>
      </c>
      <c r="I307" s="8">
        <v>22000</v>
      </c>
      <c r="J307" s="8">
        <v>22000</v>
      </c>
      <c r="K307" s="5" t="s">
        <v>17</v>
      </c>
      <c r="L307">
        <f t="shared" si="21"/>
        <v>3</v>
      </c>
      <c r="M307">
        <f t="shared" ca="1" si="24"/>
        <v>14</v>
      </c>
      <c r="N307" s="15">
        <f t="shared" si="22"/>
        <v>0</v>
      </c>
      <c r="O307" t="str">
        <f t="shared" ca="1" si="23"/>
        <v>0-30 Days</v>
      </c>
    </row>
    <row r="308" spans="1:15" x14ac:dyDescent="0.3">
      <c r="A308" s="2" t="s">
        <v>778</v>
      </c>
      <c r="B308" s="3" t="s">
        <v>718</v>
      </c>
      <c r="C308" s="2" t="s">
        <v>12</v>
      </c>
      <c r="D308" s="2" t="str">
        <f t="shared" si="20"/>
        <v>Jul</v>
      </c>
      <c r="E308" s="24" t="s">
        <v>344</v>
      </c>
      <c r="F308" s="20" t="s">
        <v>625</v>
      </c>
      <c r="G308" s="20" t="s">
        <v>626</v>
      </c>
      <c r="H308" s="20" t="s">
        <v>554</v>
      </c>
      <c r="I308" s="4">
        <v>45000</v>
      </c>
      <c r="J308" s="4">
        <v>45000</v>
      </c>
      <c r="K308" s="5" t="s">
        <v>17</v>
      </c>
      <c r="L308">
        <f t="shared" si="21"/>
        <v>3</v>
      </c>
      <c r="M308">
        <f t="shared" ca="1" si="24"/>
        <v>10</v>
      </c>
      <c r="N308" s="15">
        <f t="shared" si="22"/>
        <v>0</v>
      </c>
      <c r="O308" t="str">
        <f t="shared" ca="1" si="23"/>
        <v>0-30 Days</v>
      </c>
    </row>
    <row r="309" spans="1:15" x14ac:dyDescent="0.3">
      <c r="A309" s="6" t="s">
        <v>779</v>
      </c>
      <c r="B309" s="7" t="s">
        <v>780</v>
      </c>
      <c r="C309" s="6" t="s">
        <v>26</v>
      </c>
      <c r="D309" s="2" t="str">
        <f t="shared" si="20"/>
        <v>Nov</v>
      </c>
      <c r="E309" s="25" t="s">
        <v>128</v>
      </c>
      <c r="F309" s="21" t="s">
        <v>362</v>
      </c>
      <c r="G309" s="21" t="s">
        <v>168</v>
      </c>
      <c r="H309" s="21" t="s">
        <v>127</v>
      </c>
      <c r="I309" s="8">
        <v>50000</v>
      </c>
      <c r="J309" s="8">
        <v>50000</v>
      </c>
      <c r="K309" s="5" t="s">
        <v>17</v>
      </c>
      <c r="L309">
        <f t="shared" si="21"/>
        <v>1</v>
      </c>
      <c r="M309">
        <f t="shared" ca="1" si="24"/>
        <v>20</v>
      </c>
      <c r="N309" s="15">
        <f t="shared" si="22"/>
        <v>0</v>
      </c>
      <c r="O309" t="str">
        <f t="shared" ca="1" si="23"/>
        <v>0-30 Days</v>
      </c>
    </row>
    <row r="310" spans="1:15" x14ac:dyDescent="0.3">
      <c r="A310" s="2" t="s">
        <v>781</v>
      </c>
      <c r="B310" s="3" t="s">
        <v>658</v>
      </c>
      <c r="C310" s="2" t="s">
        <v>12</v>
      </c>
      <c r="D310" s="2" t="str">
        <f t="shared" si="20"/>
        <v>Oct</v>
      </c>
      <c r="E310" s="24" t="s">
        <v>133</v>
      </c>
      <c r="F310" s="20" t="s">
        <v>259</v>
      </c>
      <c r="G310" s="20" t="s">
        <v>278</v>
      </c>
      <c r="H310" s="20"/>
      <c r="I310" s="4">
        <v>45000</v>
      </c>
      <c r="J310" s="4">
        <v>0</v>
      </c>
      <c r="K310" s="10" t="s">
        <v>57</v>
      </c>
      <c r="L310">
        <f t="shared" si="21"/>
        <v>1</v>
      </c>
      <c r="M310">
        <f t="shared" ca="1" si="24"/>
        <v>247</v>
      </c>
      <c r="N310" s="15">
        <f t="shared" si="22"/>
        <v>45000</v>
      </c>
      <c r="O310" t="str">
        <f t="shared" ca="1" si="23"/>
        <v>90+ Days</v>
      </c>
    </row>
    <row r="311" spans="1:15" x14ac:dyDescent="0.3">
      <c r="A311" s="6" t="s">
        <v>782</v>
      </c>
      <c r="B311" s="7" t="s">
        <v>297</v>
      </c>
      <c r="C311" s="6" t="s">
        <v>26</v>
      </c>
      <c r="D311" s="2" t="str">
        <f t="shared" si="20"/>
        <v>Feb</v>
      </c>
      <c r="E311" s="25" t="s">
        <v>318</v>
      </c>
      <c r="F311" s="21" t="s">
        <v>66</v>
      </c>
      <c r="G311" s="21" t="s">
        <v>23</v>
      </c>
      <c r="H311" s="21" t="s">
        <v>201</v>
      </c>
      <c r="I311" s="8">
        <v>50000</v>
      </c>
      <c r="J311" s="8">
        <v>50000</v>
      </c>
      <c r="K311" s="5" t="s">
        <v>17</v>
      </c>
      <c r="L311">
        <f t="shared" si="21"/>
        <v>1</v>
      </c>
      <c r="M311">
        <f t="shared" ca="1" si="24"/>
        <v>21</v>
      </c>
      <c r="N311" s="15">
        <f t="shared" si="22"/>
        <v>0</v>
      </c>
      <c r="O311" t="str">
        <f t="shared" ca="1" si="23"/>
        <v>0-30 Days</v>
      </c>
    </row>
    <row r="312" spans="1:15" x14ac:dyDescent="0.3">
      <c r="A312" s="2" t="s">
        <v>783</v>
      </c>
      <c r="B312" s="3" t="s">
        <v>407</v>
      </c>
      <c r="C312" s="2" t="s">
        <v>33</v>
      </c>
      <c r="D312" s="2" t="str">
        <f t="shared" si="20"/>
        <v>Aug</v>
      </c>
      <c r="E312" s="24" t="s">
        <v>195</v>
      </c>
      <c r="F312" s="20" t="s">
        <v>730</v>
      </c>
      <c r="G312" s="20" t="s">
        <v>667</v>
      </c>
      <c r="H312" s="20"/>
      <c r="I312" s="4">
        <v>40000</v>
      </c>
      <c r="J312" s="4">
        <v>0</v>
      </c>
      <c r="K312" s="10" t="s">
        <v>57</v>
      </c>
      <c r="L312">
        <f t="shared" si="21"/>
        <v>1</v>
      </c>
      <c r="M312">
        <f t="shared" ca="1" si="24"/>
        <v>307</v>
      </c>
      <c r="N312" s="15">
        <f t="shared" si="22"/>
        <v>40000</v>
      </c>
      <c r="O312" t="str">
        <f t="shared" ca="1" si="23"/>
        <v>90+ Days</v>
      </c>
    </row>
    <row r="313" spans="1:15" x14ac:dyDescent="0.3">
      <c r="A313" s="6" t="s">
        <v>784</v>
      </c>
      <c r="B313" s="7" t="s">
        <v>347</v>
      </c>
      <c r="C313" s="6" t="s">
        <v>12</v>
      </c>
      <c r="D313" s="2" t="str">
        <f t="shared" si="20"/>
        <v>Jan</v>
      </c>
      <c r="E313" s="25" t="s">
        <v>455</v>
      </c>
      <c r="F313" s="21" t="s">
        <v>27</v>
      </c>
      <c r="G313" s="21" t="s">
        <v>358</v>
      </c>
      <c r="H313" s="21" t="s">
        <v>230</v>
      </c>
      <c r="I313" s="8">
        <v>8000</v>
      </c>
      <c r="J313" s="8">
        <v>8000</v>
      </c>
      <c r="K313" s="5" t="s">
        <v>17</v>
      </c>
      <c r="L313">
        <f t="shared" si="21"/>
        <v>2</v>
      </c>
      <c r="M313">
        <f t="shared" ca="1" si="24"/>
        <v>16</v>
      </c>
      <c r="N313" s="15">
        <f t="shared" si="22"/>
        <v>0</v>
      </c>
      <c r="O313" t="str">
        <f t="shared" ca="1" si="23"/>
        <v>0-30 Days</v>
      </c>
    </row>
    <row r="314" spans="1:15" x14ac:dyDescent="0.3">
      <c r="A314" s="2" t="s">
        <v>785</v>
      </c>
      <c r="B314" s="3" t="s">
        <v>601</v>
      </c>
      <c r="C314" s="2" t="s">
        <v>40</v>
      </c>
      <c r="D314" s="2" t="str">
        <f t="shared" si="20"/>
        <v>Jul</v>
      </c>
      <c r="E314" s="24" t="s">
        <v>608</v>
      </c>
      <c r="F314" s="20" t="s">
        <v>625</v>
      </c>
      <c r="G314" s="20" t="s">
        <v>626</v>
      </c>
      <c r="H314" s="20" t="s">
        <v>340</v>
      </c>
      <c r="I314" s="4">
        <v>100000</v>
      </c>
      <c r="J314" s="4">
        <v>100000</v>
      </c>
      <c r="K314" s="5" t="s">
        <v>17</v>
      </c>
      <c r="L314">
        <f t="shared" si="21"/>
        <v>1</v>
      </c>
      <c r="M314">
        <f t="shared" ca="1" si="24"/>
        <v>15</v>
      </c>
      <c r="N314" s="15">
        <f t="shared" si="22"/>
        <v>0</v>
      </c>
      <c r="O314" t="str">
        <f t="shared" ca="1" si="23"/>
        <v>0-30 Days</v>
      </c>
    </row>
    <row r="315" spans="1:15" x14ac:dyDescent="0.3">
      <c r="A315" s="6" t="s">
        <v>786</v>
      </c>
      <c r="B315" s="7" t="s">
        <v>53</v>
      </c>
      <c r="C315" s="6" t="s">
        <v>40</v>
      </c>
      <c r="D315" s="2" t="str">
        <f t="shared" si="20"/>
        <v>Nov</v>
      </c>
      <c r="E315" s="25" t="s">
        <v>92</v>
      </c>
      <c r="F315" s="21" t="s">
        <v>301</v>
      </c>
      <c r="G315" s="21" t="s">
        <v>653</v>
      </c>
      <c r="H315" s="21" t="s">
        <v>145</v>
      </c>
      <c r="I315" s="8">
        <v>20000</v>
      </c>
      <c r="J315" s="8">
        <v>20000</v>
      </c>
      <c r="K315" s="5" t="s">
        <v>17</v>
      </c>
      <c r="L315">
        <f t="shared" si="21"/>
        <v>2</v>
      </c>
      <c r="M315">
        <f t="shared" ca="1" si="24"/>
        <v>14</v>
      </c>
      <c r="N315" s="15">
        <f t="shared" si="22"/>
        <v>0</v>
      </c>
      <c r="O315" t="str">
        <f t="shared" ca="1" si="23"/>
        <v>0-30 Days</v>
      </c>
    </row>
    <row r="316" spans="1:15" x14ac:dyDescent="0.3">
      <c r="A316" s="2" t="s">
        <v>787</v>
      </c>
      <c r="B316" s="3" t="s">
        <v>461</v>
      </c>
      <c r="C316" s="2" t="s">
        <v>12</v>
      </c>
      <c r="D316" s="2" t="str">
        <f t="shared" si="20"/>
        <v>Dec</v>
      </c>
      <c r="E316" s="24" t="s">
        <v>562</v>
      </c>
      <c r="F316" s="20" t="s">
        <v>579</v>
      </c>
      <c r="G316" s="20" t="s">
        <v>788</v>
      </c>
      <c r="H316" s="20" t="s">
        <v>93</v>
      </c>
      <c r="I316" s="4">
        <v>35000</v>
      </c>
      <c r="J316" s="4">
        <v>35000</v>
      </c>
      <c r="K316" s="5" t="s">
        <v>17</v>
      </c>
      <c r="L316">
        <f t="shared" si="21"/>
        <v>1</v>
      </c>
      <c r="M316">
        <f t="shared" ca="1" si="24"/>
        <v>5</v>
      </c>
      <c r="N316" s="15">
        <f t="shared" si="22"/>
        <v>0</v>
      </c>
      <c r="O316" t="str">
        <f t="shared" ca="1" si="23"/>
        <v>0-30 Days</v>
      </c>
    </row>
    <row r="317" spans="1:15" x14ac:dyDescent="0.3">
      <c r="A317" s="6" t="s">
        <v>789</v>
      </c>
      <c r="B317" s="7" t="s">
        <v>180</v>
      </c>
      <c r="C317" s="6" t="s">
        <v>33</v>
      </c>
      <c r="D317" s="2" t="str">
        <f t="shared" si="20"/>
        <v>Jan</v>
      </c>
      <c r="E317" s="25" t="s">
        <v>462</v>
      </c>
      <c r="F317" s="21" t="s">
        <v>637</v>
      </c>
      <c r="G317" s="21" t="s">
        <v>770</v>
      </c>
      <c r="H317" s="21"/>
      <c r="I317" s="8">
        <v>30000</v>
      </c>
      <c r="J317" s="8">
        <v>0</v>
      </c>
      <c r="K317" s="10" t="s">
        <v>57</v>
      </c>
      <c r="L317">
        <f t="shared" si="21"/>
        <v>2</v>
      </c>
      <c r="M317">
        <f t="shared" ca="1" si="24"/>
        <v>520</v>
      </c>
      <c r="N317" s="15">
        <f t="shared" si="22"/>
        <v>30000</v>
      </c>
      <c r="O317" t="str">
        <f t="shared" ca="1" si="23"/>
        <v>90+ Days</v>
      </c>
    </row>
    <row r="318" spans="1:15" x14ac:dyDescent="0.3">
      <c r="A318" s="2" t="s">
        <v>790</v>
      </c>
      <c r="B318" s="3" t="s">
        <v>521</v>
      </c>
      <c r="C318" s="2" t="s">
        <v>33</v>
      </c>
      <c r="D318" s="2" t="str">
        <f t="shared" si="20"/>
        <v>Nov</v>
      </c>
      <c r="E318" s="24" t="s">
        <v>674</v>
      </c>
      <c r="F318" s="20" t="s">
        <v>278</v>
      </c>
      <c r="G318" s="20" t="s">
        <v>94</v>
      </c>
      <c r="H318" s="20" t="s">
        <v>271</v>
      </c>
      <c r="I318" s="4">
        <v>18000</v>
      </c>
      <c r="J318" s="4">
        <v>18000</v>
      </c>
      <c r="K318" s="5" t="s">
        <v>17</v>
      </c>
      <c r="L318">
        <f t="shared" si="21"/>
        <v>3</v>
      </c>
      <c r="M318">
        <f t="shared" ca="1" si="24"/>
        <v>14</v>
      </c>
      <c r="N318" s="15">
        <f t="shared" si="22"/>
        <v>0</v>
      </c>
      <c r="O318" t="str">
        <f t="shared" ca="1" si="23"/>
        <v>0-30 Days</v>
      </c>
    </row>
    <row r="319" spans="1:15" x14ac:dyDescent="0.3">
      <c r="A319" s="6" t="s">
        <v>791</v>
      </c>
      <c r="B319" s="7" t="s">
        <v>601</v>
      </c>
      <c r="C319" s="6" t="s">
        <v>40</v>
      </c>
      <c r="D319" s="2" t="str">
        <f t="shared" si="20"/>
        <v>Jun</v>
      </c>
      <c r="E319" s="25" t="s">
        <v>792</v>
      </c>
      <c r="F319" s="21" t="s">
        <v>560</v>
      </c>
      <c r="G319" s="21" t="s">
        <v>55</v>
      </c>
      <c r="H319" s="21" t="s">
        <v>712</v>
      </c>
      <c r="I319" s="8">
        <v>8000</v>
      </c>
      <c r="J319" s="8">
        <v>8000</v>
      </c>
      <c r="K319" s="5" t="s">
        <v>17</v>
      </c>
      <c r="L319">
        <f t="shared" si="21"/>
        <v>1</v>
      </c>
      <c r="M319">
        <f t="shared" ca="1" si="24"/>
        <v>25</v>
      </c>
      <c r="N319" s="15">
        <f t="shared" si="22"/>
        <v>0</v>
      </c>
      <c r="O319" t="str">
        <f t="shared" ca="1" si="23"/>
        <v>0-30 Days</v>
      </c>
    </row>
    <row r="320" spans="1:15" x14ac:dyDescent="0.3">
      <c r="A320" s="2" t="s">
        <v>793</v>
      </c>
      <c r="B320" s="3" t="s">
        <v>794</v>
      </c>
      <c r="C320" s="2" t="s">
        <v>12</v>
      </c>
      <c r="D320" s="2" t="str">
        <f t="shared" si="20"/>
        <v>Nov</v>
      </c>
      <c r="E320" s="24" t="s">
        <v>36</v>
      </c>
      <c r="F320" s="20" t="s">
        <v>122</v>
      </c>
      <c r="G320" s="20" t="s">
        <v>573</v>
      </c>
      <c r="H320" s="20" t="s">
        <v>168</v>
      </c>
      <c r="I320" s="4">
        <v>10000</v>
      </c>
      <c r="J320" s="4">
        <v>10000</v>
      </c>
      <c r="K320" s="5" t="s">
        <v>17</v>
      </c>
      <c r="L320">
        <f t="shared" si="21"/>
        <v>2</v>
      </c>
      <c r="M320">
        <f t="shared" ca="1" si="24"/>
        <v>20</v>
      </c>
      <c r="N320" s="15">
        <f t="shared" si="22"/>
        <v>0</v>
      </c>
      <c r="O320" t="str">
        <f t="shared" ca="1" si="23"/>
        <v>0-30 Days</v>
      </c>
    </row>
    <row r="321" spans="1:15" x14ac:dyDescent="0.3">
      <c r="A321" s="6" t="s">
        <v>795</v>
      </c>
      <c r="B321" s="7" t="s">
        <v>593</v>
      </c>
      <c r="C321" s="6" t="s">
        <v>12</v>
      </c>
      <c r="D321" s="2" t="str">
        <f t="shared" si="20"/>
        <v>Oct</v>
      </c>
      <c r="E321" s="25" t="s">
        <v>416</v>
      </c>
      <c r="F321" s="21" t="s">
        <v>597</v>
      </c>
      <c r="G321" s="21" t="s">
        <v>140</v>
      </c>
      <c r="H321" s="21" t="s">
        <v>271</v>
      </c>
      <c r="I321" s="8">
        <v>45000</v>
      </c>
      <c r="J321" s="8">
        <v>45000</v>
      </c>
      <c r="K321" s="9" t="s">
        <v>45</v>
      </c>
      <c r="L321">
        <f t="shared" si="21"/>
        <v>1</v>
      </c>
      <c r="M321">
        <f t="shared" ca="1" si="24"/>
        <v>53</v>
      </c>
      <c r="N321" s="15">
        <f t="shared" si="22"/>
        <v>0</v>
      </c>
      <c r="O321" t="str">
        <f t="shared" ca="1" si="23"/>
        <v>31-60 Days</v>
      </c>
    </row>
    <row r="322" spans="1:15" x14ac:dyDescent="0.3">
      <c r="A322" s="2" t="s">
        <v>796</v>
      </c>
      <c r="B322" s="3" t="s">
        <v>407</v>
      </c>
      <c r="C322" s="2" t="s">
        <v>33</v>
      </c>
      <c r="D322" s="2" t="str">
        <f t="shared" si="20"/>
        <v>May</v>
      </c>
      <c r="E322" s="24" t="s">
        <v>522</v>
      </c>
      <c r="F322" s="20" t="s">
        <v>507</v>
      </c>
      <c r="G322" s="20" t="s">
        <v>178</v>
      </c>
      <c r="H322" s="20" t="s">
        <v>85</v>
      </c>
      <c r="I322" s="4">
        <v>5000</v>
      </c>
      <c r="J322" s="4">
        <v>5000</v>
      </c>
      <c r="K322" s="9" t="s">
        <v>45</v>
      </c>
      <c r="L322">
        <f t="shared" si="21"/>
        <v>2</v>
      </c>
      <c r="M322">
        <f t="shared" ca="1" si="24"/>
        <v>38</v>
      </c>
      <c r="N322" s="15">
        <f t="shared" si="22"/>
        <v>0</v>
      </c>
      <c r="O322" t="str">
        <f t="shared" ca="1" si="23"/>
        <v>31-60 Days</v>
      </c>
    </row>
    <row r="323" spans="1:15" x14ac:dyDescent="0.3">
      <c r="A323" s="6" t="s">
        <v>797</v>
      </c>
      <c r="B323" s="7" t="s">
        <v>402</v>
      </c>
      <c r="C323" s="6" t="s">
        <v>12</v>
      </c>
      <c r="D323" s="2" t="str">
        <f t="shared" ref="D323:D386" si="25">MID(E323, 4, 3)</f>
        <v>Aug</v>
      </c>
      <c r="E323" s="25" t="s">
        <v>340</v>
      </c>
      <c r="F323" s="21" t="s">
        <v>333</v>
      </c>
      <c r="G323" s="21" t="s">
        <v>88</v>
      </c>
      <c r="H323" s="21" t="s">
        <v>534</v>
      </c>
      <c r="I323" s="8">
        <v>10000</v>
      </c>
      <c r="J323" s="8">
        <v>10000</v>
      </c>
      <c r="K323" s="5" t="s">
        <v>17</v>
      </c>
      <c r="L323">
        <f t="shared" ref="L323:L386" si="26">F323-E323</f>
        <v>1</v>
      </c>
      <c r="M323">
        <f t="shared" ca="1" si="24"/>
        <v>16</v>
      </c>
      <c r="N323" s="15">
        <f t="shared" ref="N323:N386" si="27">I323-J323</f>
        <v>0</v>
      </c>
      <c r="O323" t="str">
        <f t="shared" ref="O323:O386" ca="1" si="28">IF(M323&lt;=30,"0-30 Days",
IF(M323&lt;=60,"31-60 Days",
IF(M323&lt;=90,"61-90 Days","90+ Days")))</f>
        <v>0-30 Days</v>
      </c>
    </row>
    <row r="324" spans="1:15" x14ac:dyDescent="0.3">
      <c r="A324" s="2" t="s">
        <v>798</v>
      </c>
      <c r="B324" s="3" t="s">
        <v>268</v>
      </c>
      <c r="C324" s="2" t="s">
        <v>33</v>
      </c>
      <c r="D324" s="2" t="str">
        <f t="shared" si="25"/>
        <v>Sep</v>
      </c>
      <c r="E324" s="24" t="s">
        <v>737</v>
      </c>
      <c r="F324" s="20" t="s">
        <v>172</v>
      </c>
      <c r="G324" s="20" t="s">
        <v>173</v>
      </c>
      <c r="H324" s="20"/>
      <c r="I324" s="4">
        <v>45000</v>
      </c>
      <c r="J324" s="4">
        <v>0</v>
      </c>
      <c r="K324" s="12" t="s">
        <v>71</v>
      </c>
      <c r="L324">
        <f t="shared" si="26"/>
        <v>3</v>
      </c>
      <c r="M324">
        <f t="shared" ref="M324:M387" ca="1" si="29">IF(H324="",TODAY()-F324,H324-F324)</f>
        <v>259</v>
      </c>
      <c r="N324" s="15">
        <f t="shared" si="27"/>
        <v>45000</v>
      </c>
      <c r="O324" t="str">
        <f t="shared" ca="1" si="28"/>
        <v>90+ Days</v>
      </c>
    </row>
    <row r="325" spans="1:15" x14ac:dyDescent="0.3">
      <c r="A325" s="6" t="s">
        <v>799</v>
      </c>
      <c r="B325" s="7" t="s">
        <v>293</v>
      </c>
      <c r="C325" s="6" t="s">
        <v>12</v>
      </c>
      <c r="D325" s="2" t="str">
        <f t="shared" si="25"/>
        <v>Oct</v>
      </c>
      <c r="E325" s="25" t="s">
        <v>133</v>
      </c>
      <c r="F325" s="21" t="s">
        <v>259</v>
      </c>
      <c r="G325" s="21" t="s">
        <v>278</v>
      </c>
      <c r="H325" s="21"/>
      <c r="I325" s="8">
        <v>12000</v>
      </c>
      <c r="J325" s="8">
        <v>0</v>
      </c>
      <c r="K325" s="10" t="s">
        <v>57</v>
      </c>
      <c r="L325">
        <f t="shared" si="26"/>
        <v>1</v>
      </c>
      <c r="M325">
        <f t="shared" ca="1" si="29"/>
        <v>247</v>
      </c>
      <c r="N325" s="15">
        <f t="shared" si="27"/>
        <v>12000</v>
      </c>
      <c r="O325" t="str">
        <f t="shared" ca="1" si="28"/>
        <v>90+ Days</v>
      </c>
    </row>
    <row r="326" spans="1:15" x14ac:dyDescent="0.3">
      <c r="A326" s="2" t="s">
        <v>800</v>
      </c>
      <c r="B326" s="3" t="s">
        <v>73</v>
      </c>
      <c r="C326" s="2" t="s">
        <v>26</v>
      </c>
      <c r="D326" s="2" t="str">
        <f t="shared" si="25"/>
        <v>Nov</v>
      </c>
      <c r="E326" s="24" t="s">
        <v>732</v>
      </c>
      <c r="F326" s="20" t="s">
        <v>166</v>
      </c>
      <c r="G326" s="20" t="s">
        <v>579</v>
      </c>
      <c r="H326" s="20" t="s">
        <v>92</v>
      </c>
      <c r="I326" s="4">
        <v>100000</v>
      </c>
      <c r="J326" s="4">
        <v>100000</v>
      </c>
      <c r="K326" s="5" t="s">
        <v>17</v>
      </c>
      <c r="L326">
        <f t="shared" si="26"/>
        <v>2</v>
      </c>
      <c r="M326">
        <f t="shared" ca="1" si="29"/>
        <v>5</v>
      </c>
      <c r="N326" s="15">
        <f t="shared" si="27"/>
        <v>0</v>
      </c>
      <c r="O326" t="str">
        <f t="shared" ca="1" si="28"/>
        <v>0-30 Days</v>
      </c>
    </row>
    <row r="327" spans="1:15" x14ac:dyDescent="0.3">
      <c r="A327" s="6" t="s">
        <v>801</v>
      </c>
      <c r="B327" s="7" t="s">
        <v>802</v>
      </c>
      <c r="C327" s="6" t="s">
        <v>12</v>
      </c>
      <c r="D327" s="2" t="str">
        <f t="shared" si="25"/>
        <v>Feb</v>
      </c>
      <c r="E327" s="25" t="s">
        <v>200</v>
      </c>
      <c r="F327" s="21" t="s">
        <v>803</v>
      </c>
      <c r="G327" s="21" t="s">
        <v>681</v>
      </c>
      <c r="H327" s="21"/>
      <c r="I327" s="8">
        <v>40000</v>
      </c>
      <c r="J327" s="8">
        <v>0</v>
      </c>
      <c r="K327" s="12" t="s">
        <v>71</v>
      </c>
      <c r="L327">
        <f t="shared" si="26"/>
        <v>2</v>
      </c>
      <c r="M327">
        <f t="shared" ca="1" si="29"/>
        <v>495</v>
      </c>
      <c r="N327" s="15">
        <f t="shared" si="27"/>
        <v>40000</v>
      </c>
      <c r="O327" t="str">
        <f t="shared" ca="1" si="28"/>
        <v>90+ Days</v>
      </c>
    </row>
    <row r="328" spans="1:15" x14ac:dyDescent="0.3">
      <c r="A328" s="2" t="s">
        <v>804</v>
      </c>
      <c r="B328" s="3" t="s">
        <v>529</v>
      </c>
      <c r="C328" s="2" t="s">
        <v>12</v>
      </c>
      <c r="D328" s="2" t="str">
        <f t="shared" si="25"/>
        <v>Feb</v>
      </c>
      <c r="E328" s="24" t="s">
        <v>80</v>
      </c>
      <c r="F328" s="20" t="s">
        <v>503</v>
      </c>
      <c r="G328" s="20" t="s">
        <v>451</v>
      </c>
      <c r="H328" s="20" t="s">
        <v>202</v>
      </c>
      <c r="I328" s="4">
        <v>75000</v>
      </c>
      <c r="J328" s="4">
        <v>75000</v>
      </c>
      <c r="K328" s="5" t="s">
        <v>17</v>
      </c>
      <c r="L328">
        <f t="shared" si="26"/>
        <v>3</v>
      </c>
      <c r="M328">
        <f t="shared" ca="1" si="29"/>
        <v>16</v>
      </c>
      <c r="N328" s="15">
        <f t="shared" si="27"/>
        <v>0</v>
      </c>
      <c r="O328" t="str">
        <f t="shared" ca="1" si="28"/>
        <v>0-30 Days</v>
      </c>
    </row>
    <row r="329" spans="1:15" x14ac:dyDescent="0.3">
      <c r="A329" s="6" t="s">
        <v>805</v>
      </c>
      <c r="B329" s="7" t="s">
        <v>170</v>
      </c>
      <c r="C329" s="6" t="s">
        <v>12</v>
      </c>
      <c r="D329" s="2" t="str">
        <f t="shared" si="25"/>
        <v>Jun</v>
      </c>
      <c r="E329" s="25" t="s">
        <v>43</v>
      </c>
      <c r="F329" s="21" t="s">
        <v>311</v>
      </c>
      <c r="G329" s="21" t="s">
        <v>253</v>
      </c>
      <c r="H329" s="21"/>
      <c r="I329" s="8">
        <v>25000</v>
      </c>
      <c r="J329" s="8">
        <v>0</v>
      </c>
      <c r="K329" s="10" t="s">
        <v>57</v>
      </c>
      <c r="L329">
        <f t="shared" si="26"/>
        <v>3</v>
      </c>
      <c r="M329">
        <f t="shared" ca="1" si="29"/>
        <v>355</v>
      </c>
      <c r="N329" s="15">
        <f t="shared" si="27"/>
        <v>25000</v>
      </c>
      <c r="O329" t="str">
        <f t="shared" ca="1" si="28"/>
        <v>90+ Days</v>
      </c>
    </row>
    <row r="330" spans="1:15" x14ac:dyDescent="0.3">
      <c r="A330" s="2" t="s">
        <v>806</v>
      </c>
      <c r="B330" s="3" t="s">
        <v>90</v>
      </c>
      <c r="C330" s="2" t="s">
        <v>12</v>
      </c>
      <c r="D330" s="2" t="str">
        <f t="shared" si="25"/>
        <v>Aug</v>
      </c>
      <c r="E330" s="24" t="s">
        <v>289</v>
      </c>
      <c r="F330" s="20" t="s">
        <v>342</v>
      </c>
      <c r="G330" s="20" t="s">
        <v>629</v>
      </c>
      <c r="H330" s="20" t="s">
        <v>273</v>
      </c>
      <c r="I330" s="4">
        <v>35000</v>
      </c>
      <c r="J330" s="4">
        <v>35000</v>
      </c>
      <c r="K330" s="9" t="s">
        <v>45</v>
      </c>
      <c r="L330">
        <f t="shared" si="26"/>
        <v>3</v>
      </c>
      <c r="M330">
        <f t="shared" ca="1" si="29"/>
        <v>56</v>
      </c>
      <c r="N330" s="15">
        <f t="shared" si="27"/>
        <v>0</v>
      </c>
      <c r="O330" t="str">
        <f t="shared" ca="1" si="28"/>
        <v>31-60 Days</v>
      </c>
    </row>
    <row r="331" spans="1:15" x14ac:dyDescent="0.3">
      <c r="A331" s="6" t="s">
        <v>807</v>
      </c>
      <c r="B331" s="7" t="s">
        <v>457</v>
      </c>
      <c r="C331" s="6" t="s">
        <v>40</v>
      </c>
      <c r="D331" s="2" t="str">
        <f t="shared" si="25"/>
        <v>Feb</v>
      </c>
      <c r="E331" s="25" t="s">
        <v>199</v>
      </c>
      <c r="F331" s="21" t="s">
        <v>808</v>
      </c>
      <c r="G331" s="21" t="s">
        <v>809</v>
      </c>
      <c r="H331" s="21" t="s">
        <v>29</v>
      </c>
      <c r="I331" s="8">
        <v>22000</v>
      </c>
      <c r="J331" s="8">
        <v>22000</v>
      </c>
      <c r="K331" s="5" t="s">
        <v>17</v>
      </c>
      <c r="L331">
        <f t="shared" si="26"/>
        <v>3</v>
      </c>
      <c r="M331">
        <f t="shared" ca="1" si="29"/>
        <v>11</v>
      </c>
      <c r="N331" s="15">
        <f t="shared" si="27"/>
        <v>0</v>
      </c>
      <c r="O331" t="str">
        <f t="shared" ca="1" si="28"/>
        <v>0-30 Days</v>
      </c>
    </row>
    <row r="332" spans="1:15" x14ac:dyDescent="0.3">
      <c r="A332" s="2" t="s">
        <v>810</v>
      </c>
      <c r="B332" s="3" t="s">
        <v>73</v>
      </c>
      <c r="C332" s="2" t="s">
        <v>26</v>
      </c>
      <c r="D332" s="2" t="str">
        <f t="shared" si="25"/>
        <v>Apr</v>
      </c>
      <c r="E332" s="24" t="s">
        <v>240</v>
      </c>
      <c r="F332" s="20" t="s">
        <v>467</v>
      </c>
      <c r="G332" s="20" t="s">
        <v>468</v>
      </c>
      <c r="H332" s="20" t="s">
        <v>224</v>
      </c>
      <c r="I332" s="4">
        <v>75000</v>
      </c>
      <c r="J332" s="4">
        <v>37500</v>
      </c>
      <c r="K332" s="13" t="s">
        <v>113</v>
      </c>
      <c r="L332">
        <f t="shared" si="26"/>
        <v>1</v>
      </c>
      <c r="M332">
        <f t="shared" ca="1" si="29"/>
        <v>37</v>
      </c>
      <c r="N332" s="15">
        <f t="shared" si="27"/>
        <v>37500</v>
      </c>
      <c r="O332" t="str">
        <f t="shared" ca="1" si="28"/>
        <v>31-60 Days</v>
      </c>
    </row>
    <row r="333" spans="1:15" x14ac:dyDescent="0.3">
      <c r="A333" s="6" t="s">
        <v>811</v>
      </c>
      <c r="B333" s="7" t="s">
        <v>170</v>
      </c>
      <c r="C333" s="6" t="s">
        <v>12</v>
      </c>
      <c r="D333" s="2" t="str">
        <f t="shared" si="25"/>
        <v>Aug</v>
      </c>
      <c r="E333" s="25" t="s">
        <v>228</v>
      </c>
      <c r="F333" s="21" t="s">
        <v>88</v>
      </c>
      <c r="G333" s="21" t="s">
        <v>416</v>
      </c>
      <c r="H333" s="21"/>
      <c r="I333" s="8">
        <v>8000</v>
      </c>
      <c r="J333" s="8">
        <v>0</v>
      </c>
      <c r="K333" s="12" t="s">
        <v>71</v>
      </c>
      <c r="L333">
        <f t="shared" si="26"/>
        <v>2</v>
      </c>
      <c r="M333">
        <f t="shared" ca="1" si="29"/>
        <v>287</v>
      </c>
      <c r="N333" s="15">
        <f t="shared" si="27"/>
        <v>8000</v>
      </c>
      <c r="O333" t="str">
        <f t="shared" ca="1" si="28"/>
        <v>90+ Days</v>
      </c>
    </row>
    <row r="334" spans="1:15" x14ac:dyDescent="0.3">
      <c r="A334" s="2" t="s">
        <v>812</v>
      </c>
      <c r="B334" s="3" t="s">
        <v>365</v>
      </c>
      <c r="C334" s="2" t="s">
        <v>40</v>
      </c>
      <c r="D334" s="2" t="str">
        <f t="shared" si="25"/>
        <v>May</v>
      </c>
      <c r="E334" s="24" t="s">
        <v>385</v>
      </c>
      <c r="F334" s="20" t="s">
        <v>210</v>
      </c>
      <c r="G334" s="20" t="s">
        <v>741</v>
      </c>
      <c r="H334" s="20"/>
      <c r="I334" s="4">
        <v>8000</v>
      </c>
      <c r="J334" s="4">
        <v>0</v>
      </c>
      <c r="K334" s="10" t="s">
        <v>57</v>
      </c>
      <c r="L334">
        <f t="shared" si="26"/>
        <v>2</v>
      </c>
      <c r="M334">
        <f t="shared" ca="1" si="29"/>
        <v>383</v>
      </c>
      <c r="N334" s="15">
        <f t="shared" si="27"/>
        <v>8000</v>
      </c>
      <c r="O334" t="str">
        <f t="shared" ca="1" si="28"/>
        <v>90+ Days</v>
      </c>
    </row>
    <row r="335" spans="1:15" x14ac:dyDescent="0.3">
      <c r="A335" s="6" t="s">
        <v>813</v>
      </c>
      <c r="B335" s="7" t="s">
        <v>339</v>
      </c>
      <c r="C335" s="6" t="s">
        <v>12</v>
      </c>
      <c r="D335" s="2" t="str">
        <f t="shared" si="25"/>
        <v>May</v>
      </c>
      <c r="E335" s="25" t="s">
        <v>152</v>
      </c>
      <c r="F335" s="21" t="s">
        <v>224</v>
      </c>
      <c r="G335" s="21" t="s">
        <v>350</v>
      </c>
      <c r="H335" s="21" t="s">
        <v>154</v>
      </c>
      <c r="I335" s="8">
        <v>100000</v>
      </c>
      <c r="J335" s="8">
        <v>100000</v>
      </c>
      <c r="K335" s="5" t="s">
        <v>17</v>
      </c>
      <c r="L335">
        <f t="shared" si="26"/>
        <v>1</v>
      </c>
      <c r="M335">
        <f t="shared" ca="1" si="29"/>
        <v>17</v>
      </c>
      <c r="N335" s="15">
        <f t="shared" si="27"/>
        <v>0</v>
      </c>
      <c r="O335" t="str">
        <f t="shared" ca="1" si="28"/>
        <v>0-30 Days</v>
      </c>
    </row>
    <row r="336" spans="1:15" x14ac:dyDescent="0.3">
      <c r="A336" s="2" t="s">
        <v>814</v>
      </c>
      <c r="B336" s="3" t="s">
        <v>306</v>
      </c>
      <c r="C336" s="2" t="s">
        <v>12</v>
      </c>
      <c r="D336" s="2" t="str">
        <f t="shared" si="25"/>
        <v>Aug</v>
      </c>
      <c r="E336" s="24" t="s">
        <v>815</v>
      </c>
      <c r="F336" s="20" t="s">
        <v>555</v>
      </c>
      <c r="G336" s="20" t="s">
        <v>117</v>
      </c>
      <c r="H336" s="20"/>
      <c r="I336" s="4">
        <v>75000</v>
      </c>
      <c r="J336" s="4">
        <v>0</v>
      </c>
      <c r="K336" s="11" t="s">
        <v>63</v>
      </c>
      <c r="L336">
        <f t="shared" si="26"/>
        <v>2</v>
      </c>
      <c r="M336">
        <f t="shared" ca="1" si="29"/>
        <v>304</v>
      </c>
      <c r="N336" s="15">
        <f t="shared" si="27"/>
        <v>75000</v>
      </c>
      <c r="O336" t="str">
        <f t="shared" ca="1" si="28"/>
        <v>90+ Days</v>
      </c>
    </row>
    <row r="337" spans="1:15" x14ac:dyDescent="0.3">
      <c r="A337" s="6" t="s">
        <v>816</v>
      </c>
      <c r="B337" s="7" t="s">
        <v>727</v>
      </c>
      <c r="C337" s="6" t="s">
        <v>12</v>
      </c>
      <c r="D337" s="2" t="str">
        <f t="shared" si="25"/>
        <v>Dec</v>
      </c>
      <c r="E337" s="25" t="s">
        <v>190</v>
      </c>
      <c r="F337" s="21" t="s">
        <v>562</v>
      </c>
      <c r="G337" s="21" t="s">
        <v>817</v>
      </c>
      <c r="H337" s="21" t="s">
        <v>818</v>
      </c>
      <c r="I337" s="8">
        <v>100000</v>
      </c>
      <c r="J337" s="8">
        <v>50000</v>
      </c>
      <c r="K337" s="13" t="s">
        <v>113</v>
      </c>
      <c r="L337">
        <f t="shared" si="26"/>
        <v>2</v>
      </c>
      <c r="M337">
        <f t="shared" ca="1" si="29"/>
        <v>38</v>
      </c>
      <c r="N337" s="15">
        <f t="shared" si="27"/>
        <v>50000</v>
      </c>
      <c r="O337" t="str">
        <f t="shared" ca="1" si="28"/>
        <v>31-60 Days</v>
      </c>
    </row>
    <row r="338" spans="1:15" x14ac:dyDescent="0.3">
      <c r="A338" s="2" t="s">
        <v>819</v>
      </c>
      <c r="B338" s="3" t="s">
        <v>180</v>
      </c>
      <c r="C338" s="2" t="s">
        <v>33</v>
      </c>
      <c r="D338" s="2" t="str">
        <f t="shared" si="25"/>
        <v>Aug</v>
      </c>
      <c r="E338" s="24" t="s">
        <v>820</v>
      </c>
      <c r="F338" s="20" t="s">
        <v>70</v>
      </c>
      <c r="G338" s="20" t="s">
        <v>291</v>
      </c>
      <c r="H338" s="20" t="s">
        <v>597</v>
      </c>
      <c r="I338" s="4">
        <v>18000</v>
      </c>
      <c r="J338" s="4">
        <v>18000</v>
      </c>
      <c r="K338" s="9" t="s">
        <v>45</v>
      </c>
      <c r="L338">
        <f t="shared" si="26"/>
        <v>1</v>
      </c>
      <c r="M338">
        <f t="shared" ca="1" si="29"/>
        <v>57</v>
      </c>
      <c r="N338" s="15">
        <f t="shared" si="27"/>
        <v>0</v>
      </c>
      <c r="O338" t="str">
        <f t="shared" ca="1" si="28"/>
        <v>31-60 Days</v>
      </c>
    </row>
    <row r="339" spans="1:15" x14ac:dyDescent="0.3">
      <c r="A339" s="6" t="s">
        <v>821</v>
      </c>
      <c r="B339" s="7" t="s">
        <v>822</v>
      </c>
      <c r="C339" s="6" t="s">
        <v>26</v>
      </c>
      <c r="D339" s="2" t="str">
        <f t="shared" si="25"/>
        <v>Oct</v>
      </c>
      <c r="E339" s="25" t="s">
        <v>437</v>
      </c>
      <c r="F339" s="21" t="s">
        <v>243</v>
      </c>
      <c r="G339" s="21" t="s">
        <v>674</v>
      </c>
      <c r="H339" s="21" t="s">
        <v>273</v>
      </c>
      <c r="I339" s="8">
        <v>75000</v>
      </c>
      <c r="J339" s="8">
        <v>75000</v>
      </c>
      <c r="K339" s="5" t="s">
        <v>17</v>
      </c>
      <c r="L339">
        <f t="shared" si="26"/>
        <v>2</v>
      </c>
      <c r="M339">
        <f t="shared" ca="1" si="29"/>
        <v>15</v>
      </c>
      <c r="N339" s="15">
        <f t="shared" si="27"/>
        <v>0</v>
      </c>
      <c r="O339" t="str">
        <f t="shared" ca="1" si="28"/>
        <v>0-30 Days</v>
      </c>
    </row>
    <row r="340" spans="1:15" x14ac:dyDescent="0.3">
      <c r="A340" s="2" t="s">
        <v>823</v>
      </c>
      <c r="B340" s="3" t="s">
        <v>277</v>
      </c>
      <c r="C340" s="2" t="s">
        <v>12</v>
      </c>
      <c r="D340" s="2" t="str">
        <f t="shared" si="25"/>
        <v>Jun</v>
      </c>
      <c r="E340" s="24" t="s">
        <v>507</v>
      </c>
      <c r="F340" s="20" t="s">
        <v>369</v>
      </c>
      <c r="G340" s="20" t="s">
        <v>54</v>
      </c>
      <c r="H340" s="20" t="s">
        <v>608</v>
      </c>
      <c r="I340" s="4">
        <v>22000</v>
      </c>
      <c r="J340" s="4">
        <v>22000</v>
      </c>
      <c r="K340" s="9" t="s">
        <v>45</v>
      </c>
      <c r="L340">
        <f t="shared" si="26"/>
        <v>2</v>
      </c>
      <c r="M340">
        <f t="shared" ca="1" si="29"/>
        <v>44</v>
      </c>
      <c r="N340" s="15">
        <f t="shared" si="27"/>
        <v>0</v>
      </c>
      <c r="O340" t="str">
        <f t="shared" ca="1" si="28"/>
        <v>31-60 Days</v>
      </c>
    </row>
    <row r="341" spans="1:15" x14ac:dyDescent="0.3">
      <c r="A341" s="6" t="s">
        <v>824</v>
      </c>
      <c r="B341" s="7" t="s">
        <v>186</v>
      </c>
      <c r="C341" s="6" t="s">
        <v>26</v>
      </c>
      <c r="D341" s="2" t="str">
        <f t="shared" si="25"/>
        <v>Dec</v>
      </c>
      <c r="E341" s="25" t="s">
        <v>189</v>
      </c>
      <c r="F341" s="21" t="s">
        <v>99</v>
      </c>
      <c r="G341" s="21" t="s">
        <v>100</v>
      </c>
      <c r="H341" s="21" t="s">
        <v>825</v>
      </c>
      <c r="I341" s="8">
        <v>100000</v>
      </c>
      <c r="J341" s="8">
        <v>100000</v>
      </c>
      <c r="K341" s="5" t="s">
        <v>17</v>
      </c>
      <c r="L341">
        <f t="shared" si="26"/>
        <v>2</v>
      </c>
      <c r="M341">
        <f t="shared" ca="1" si="29"/>
        <v>28</v>
      </c>
      <c r="N341" s="15">
        <f t="shared" si="27"/>
        <v>0</v>
      </c>
      <c r="O341" t="str">
        <f t="shared" ca="1" si="28"/>
        <v>0-30 Days</v>
      </c>
    </row>
    <row r="342" spans="1:15" x14ac:dyDescent="0.3">
      <c r="A342" s="2" t="s">
        <v>826</v>
      </c>
      <c r="B342" s="3" t="s">
        <v>802</v>
      </c>
      <c r="C342" s="2" t="s">
        <v>12</v>
      </c>
      <c r="D342" s="2" t="str">
        <f t="shared" si="25"/>
        <v>Nov</v>
      </c>
      <c r="E342" s="24" t="s">
        <v>278</v>
      </c>
      <c r="F342" s="20" t="s">
        <v>418</v>
      </c>
      <c r="G342" s="20" t="s">
        <v>286</v>
      </c>
      <c r="H342" s="20" t="s">
        <v>394</v>
      </c>
      <c r="I342" s="4">
        <v>50000</v>
      </c>
      <c r="J342" s="4">
        <v>50000</v>
      </c>
      <c r="K342" s="9" t="s">
        <v>45</v>
      </c>
      <c r="L342">
        <f t="shared" si="26"/>
        <v>2</v>
      </c>
      <c r="M342">
        <f t="shared" ca="1" si="29"/>
        <v>56</v>
      </c>
      <c r="N342" s="15">
        <f t="shared" si="27"/>
        <v>0</v>
      </c>
      <c r="O342" t="str">
        <f t="shared" ca="1" si="28"/>
        <v>31-60 Days</v>
      </c>
    </row>
    <row r="343" spans="1:15" x14ac:dyDescent="0.3">
      <c r="A343" s="6" t="s">
        <v>827</v>
      </c>
      <c r="B343" s="7" t="s">
        <v>207</v>
      </c>
      <c r="C343" s="6" t="s">
        <v>12</v>
      </c>
      <c r="D343" s="2" t="str">
        <f t="shared" si="25"/>
        <v>Feb</v>
      </c>
      <c r="E343" s="25" t="s">
        <v>649</v>
      </c>
      <c r="F343" s="21" t="s">
        <v>770</v>
      </c>
      <c r="G343" s="21" t="s">
        <v>771</v>
      </c>
      <c r="H343" s="21" t="s">
        <v>82</v>
      </c>
      <c r="I343" s="8">
        <v>12000</v>
      </c>
      <c r="J343" s="8">
        <v>12000</v>
      </c>
      <c r="K343" s="5" t="s">
        <v>17</v>
      </c>
      <c r="L343">
        <f t="shared" si="26"/>
        <v>3</v>
      </c>
      <c r="M343">
        <f t="shared" ca="1" si="29"/>
        <v>28</v>
      </c>
      <c r="N343" s="15">
        <f t="shared" si="27"/>
        <v>0</v>
      </c>
      <c r="O343" t="str">
        <f t="shared" ca="1" si="28"/>
        <v>0-30 Days</v>
      </c>
    </row>
    <row r="344" spans="1:15" x14ac:dyDescent="0.3">
      <c r="A344" s="2" t="s">
        <v>828</v>
      </c>
      <c r="B344" s="3" t="s">
        <v>380</v>
      </c>
      <c r="C344" s="2" t="s">
        <v>12</v>
      </c>
      <c r="D344" s="2" t="str">
        <f t="shared" si="25"/>
        <v>Mar</v>
      </c>
      <c r="E344" s="24" t="s">
        <v>421</v>
      </c>
      <c r="F344" s="20" t="s">
        <v>298</v>
      </c>
      <c r="G344" s="20" t="s">
        <v>204</v>
      </c>
      <c r="H344" s="20"/>
      <c r="I344" s="4">
        <v>20000</v>
      </c>
      <c r="J344" s="4">
        <v>0</v>
      </c>
      <c r="K344" s="10" t="s">
        <v>57</v>
      </c>
      <c r="L344">
        <f t="shared" si="26"/>
        <v>1</v>
      </c>
      <c r="M344">
        <f t="shared" ca="1" si="29"/>
        <v>449</v>
      </c>
      <c r="N344" s="15">
        <f t="shared" si="27"/>
        <v>20000</v>
      </c>
      <c r="O344" t="str">
        <f t="shared" ca="1" si="28"/>
        <v>90+ Days</v>
      </c>
    </row>
    <row r="345" spans="1:15" x14ac:dyDescent="0.3">
      <c r="A345" s="6" t="s">
        <v>829</v>
      </c>
      <c r="B345" s="7" t="s">
        <v>380</v>
      </c>
      <c r="C345" s="6" t="s">
        <v>12</v>
      </c>
      <c r="D345" s="2" t="str">
        <f t="shared" si="25"/>
        <v>Aug</v>
      </c>
      <c r="E345" s="25" t="s">
        <v>730</v>
      </c>
      <c r="F345" s="21" t="s">
        <v>815</v>
      </c>
      <c r="G345" s="21" t="s">
        <v>116</v>
      </c>
      <c r="H345" s="21" t="s">
        <v>483</v>
      </c>
      <c r="I345" s="8">
        <v>20000</v>
      </c>
      <c r="J345" s="8">
        <v>20000</v>
      </c>
      <c r="K345" s="5" t="s">
        <v>17</v>
      </c>
      <c r="L345">
        <f t="shared" si="26"/>
        <v>1</v>
      </c>
      <c r="M345">
        <f t="shared" ca="1" si="29"/>
        <v>25</v>
      </c>
      <c r="N345" s="15">
        <f t="shared" si="27"/>
        <v>0</v>
      </c>
      <c r="O345" t="str">
        <f t="shared" ca="1" si="28"/>
        <v>0-30 Days</v>
      </c>
    </row>
    <row r="346" spans="1:15" x14ac:dyDescent="0.3">
      <c r="A346" s="2" t="s">
        <v>830</v>
      </c>
      <c r="B346" s="3" t="s">
        <v>176</v>
      </c>
      <c r="C346" s="2" t="s">
        <v>12</v>
      </c>
      <c r="D346" s="2" t="str">
        <f t="shared" si="25"/>
        <v>Jul</v>
      </c>
      <c r="E346" s="24" t="s">
        <v>55</v>
      </c>
      <c r="F346" s="20" t="s">
        <v>348</v>
      </c>
      <c r="G346" s="20" t="s">
        <v>820</v>
      </c>
      <c r="H346" s="20" t="s">
        <v>585</v>
      </c>
      <c r="I346" s="4">
        <v>8000</v>
      </c>
      <c r="J346" s="4">
        <v>8000</v>
      </c>
      <c r="K346" s="9" t="s">
        <v>45</v>
      </c>
      <c r="L346">
        <f t="shared" si="26"/>
        <v>2</v>
      </c>
      <c r="M346">
        <f t="shared" ca="1" si="29"/>
        <v>52</v>
      </c>
      <c r="N346" s="15">
        <f t="shared" si="27"/>
        <v>0</v>
      </c>
      <c r="O346" t="str">
        <f t="shared" ca="1" si="28"/>
        <v>31-60 Days</v>
      </c>
    </row>
    <row r="347" spans="1:15" x14ac:dyDescent="0.3">
      <c r="A347" s="6" t="s">
        <v>831</v>
      </c>
      <c r="B347" s="7" t="s">
        <v>420</v>
      </c>
      <c r="C347" s="6" t="s">
        <v>12</v>
      </c>
      <c r="D347" s="2" t="str">
        <f t="shared" si="25"/>
        <v>Jul</v>
      </c>
      <c r="E347" s="25" t="s">
        <v>85</v>
      </c>
      <c r="F347" s="21" t="s">
        <v>86</v>
      </c>
      <c r="G347" s="21" t="s">
        <v>87</v>
      </c>
      <c r="H347" s="21"/>
      <c r="I347" s="8">
        <v>22000</v>
      </c>
      <c r="J347" s="8">
        <v>0</v>
      </c>
      <c r="K347" s="12" t="s">
        <v>71</v>
      </c>
      <c r="L347">
        <f t="shared" si="26"/>
        <v>2</v>
      </c>
      <c r="M347">
        <f t="shared" ca="1" si="29"/>
        <v>340</v>
      </c>
      <c r="N347" s="15">
        <f t="shared" si="27"/>
        <v>22000</v>
      </c>
      <c r="O347" t="str">
        <f t="shared" ca="1" si="28"/>
        <v>90+ Days</v>
      </c>
    </row>
    <row r="348" spans="1:15" x14ac:dyDescent="0.3">
      <c r="A348" s="2" t="s">
        <v>832</v>
      </c>
      <c r="B348" s="3" t="s">
        <v>402</v>
      </c>
      <c r="C348" s="2" t="s">
        <v>12</v>
      </c>
      <c r="D348" s="2" t="str">
        <f t="shared" si="25"/>
        <v>Mar</v>
      </c>
      <c r="E348" s="24" t="s">
        <v>217</v>
      </c>
      <c r="F348" s="20" t="s">
        <v>23</v>
      </c>
      <c r="G348" s="20" t="s">
        <v>467</v>
      </c>
      <c r="H348" s="20" t="s">
        <v>222</v>
      </c>
      <c r="I348" s="4">
        <v>100000</v>
      </c>
      <c r="J348" s="4">
        <v>100000</v>
      </c>
      <c r="K348" s="5" t="s">
        <v>17</v>
      </c>
      <c r="L348">
        <f t="shared" si="26"/>
        <v>3</v>
      </c>
      <c r="M348">
        <f t="shared" ca="1" si="29"/>
        <v>25</v>
      </c>
      <c r="N348" s="15">
        <f t="shared" si="27"/>
        <v>0</v>
      </c>
      <c r="O348" t="str">
        <f t="shared" ca="1" si="28"/>
        <v>0-30 Days</v>
      </c>
    </row>
    <row r="349" spans="1:15" x14ac:dyDescent="0.3">
      <c r="A349" s="6" t="s">
        <v>833</v>
      </c>
      <c r="B349" s="7" t="s">
        <v>47</v>
      </c>
      <c r="C349" s="6" t="s">
        <v>40</v>
      </c>
      <c r="D349" s="2" t="str">
        <f t="shared" si="25"/>
        <v>May</v>
      </c>
      <c r="E349" s="25" t="s">
        <v>235</v>
      </c>
      <c r="F349" s="21" t="s">
        <v>223</v>
      </c>
      <c r="G349" s="21" t="s">
        <v>177</v>
      </c>
      <c r="H349" s="21"/>
      <c r="I349" s="8">
        <v>5000</v>
      </c>
      <c r="J349" s="8">
        <v>0</v>
      </c>
      <c r="K349" s="12" t="s">
        <v>71</v>
      </c>
      <c r="L349">
        <f t="shared" si="26"/>
        <v>1</v>
      </c>
      <c r="M349">
        <f t="shared" ca="1" si="29"/>
        <v>403</v>
      </c>
      <c r="N349" s="15">
        <f t="shared" si="27"/>
        <v>5000</v>
      </c>
      <c r="O349" t="str">
        <f t="shared" ca="1" si="28"/>
        <v>90+ Days</v>
      </c>
    </row>
    <row r="350" spans="1:15" x14ac:dyDescent="0.3">
      <c r="A350" s="2" t="s">
        <v>834</v>
      </c>
      <c r="B350" s="3" t="s">
        <v>727</v>
      </c>
      <c r="C350" s="2" t="s">
        <v>12</v>
      </c>
      <c r="D350" s="2" t="str">
        <f t="shared" si="25"/>
        <v>Sep</v>
      </c>
      <c r="E350" s="24" t="s">
        <v>599</v>
      </c>
      <c r="F350" s="20" t="s">
        <v>290</v>
      </c>
      <c r="G350" s="20" t="s">
        <v>327</v>
      </c>
      <c r="H350" s="20" t="s">
        <v>174</v>
      </c>
      <c r="I350" s="4">
        <v>55000</v>
      </c>
      <c r="J350" s="4">
        <v>55000</v>
      </c>
      <c r="K350" s="5" t="s">
        <v>17</v>
      </c>
      <c r="L350">
        <f t="shared" si="26"/>
        <v>2</v>
      </c>
      <c r="M350">
        <f t="shared" ca="1" si="29"/>
        <v>13</v>
      </c>
      <c r="N350" s="15">
        <f t="shared" si="27"/>
        <v>0</v>
      </c>
      <c r="O350" t="str">
        <f t="shared" ca="1" si="28"/>
        <v>0-30 Days</v>
      </c>
    </row>
    <row r="351" spans="1:15" x14ac:dyDescent="0.3">
      <c r="A351" s="6" t="s">
        <v>835</v>
      </c>
      <c r="B351" s="7" t="s">
        <v>519</v>
      </c>
      <c r="C351" s="6" t="s">
        <v>12</v>
      </c>
      <c r="D351" s="2" t="str">
        <f t="shared" si="25"/>
        <v>Aug</v>
      </c>
      <c r="E351" s="25" t="s">
        <v>626</v>
      </c>
      <c r="F351" s="21" t="s">
        <v>321</v>
      </c>
      <c r="G351" s="21" t="s">
        <v>322</v>
      </c>
      <c r="H351" s="21" t="s">
        <v>597</v>
      </c>
      <c r="I351" s="8">
        <v>60000</v>
      </c>
      <c r="J351" s="8">
        <v>60000</v>
      </c>
      <c r="K351" s="9" t="s">
        <v>45</v>
      </c>
      <c r="L351">
        <f t="shared" si="26"/>
        <v>1</v>
      </c>
      <c r="M351">
        <f t="shared" ca="1" si="29"/>
        <v>46</v>
      </c>
      <c r="N351" s="15">
        <f t="shared" si="27"/>
        <v>0</v>
      </c>
      <c r="O351" t="str">
        <f t="shared" ca="1" si="28"/>
        <v>31-60 Days</v>
      </c>
    </row>
    <row r="352" spans="1:15" x14ac:dyDescent="0.3">
      <c r="A352" s="2" t="s">
        <v>836</v>
      </c>
      <c r="B352" s="3" t="s">
        <v>780</v>
      </c>
      <c r="C352" s="2" t="s">
        <v>26</v>
      </c>
      <c r="D352" s="2" t="str">
        <f t="shared" si="25"/>
        <v>Mar</v>
      </c>
      <c r="E352" s="24" t="s">
        <v>262</v>
      </c>
      <c r="F352" s="20" t="s">
        <v>232</v>
      </c>
      <c r="G352" s="20" t="s">
        <v>237</v>
      </c>
      <c r="H352" s="20" t="s">
        <v>219</v>
      </c>
      <c r="I352" s="4">
        <v>10000</v>
      </c>
      <c r="J352" s="4">
        <v>10000</v>
      </c>
      <c r="K352" s="5" t="s">
        <v>17</v>
      </c>
      <c r="L352">
        <f t="shared" si="26"/>
        <v>1</v>
      </c>
      <c r="M352">
        <f t="shared" ca="1" si="29"/>
        <v>27</v>
      </c>
      <c r="N352" s="15">
        <f t="shared" si="27"/>
        <v>0</v>
      </c>
      <c r="O352" t="str">
        <f t="shared" ca="1" si="28"/>
        <v>0-30 Days</v>
      </c>
    </row>
    <row r="353" spans="1:15" x14ac:dyDescent="0.3">
      <c r="A353" s="6" t="s">
        <v>837</v>
      </c>
      <c r="B353" s="7" t="s">
        <v>242</v>
      </c>
      <c r="C353" s="6" t="s">
        <v>12</v>
      </c>
      <c r="D353" s="2" t="str">
        <f t="shared" si="25"/>
        <v>Feb</v>
      </c>
      <c r="E353" s="25" t="s">
        <v>502</v>
      </c>
      <c r="F353" s="21" t="s">
        <v>247</v>
      </c>
      <c r="G353" s="21" t="s">
        <v>725</v>
      </c>
      <c r="H353" s="21" t="s">
        <v>218</v>
      </c>
      <c r="I353" s="8">
        <v>75000</v>
      </c>
      <c r="J353" s="8">
        <v>75000</v>
      </c>
      <c r="K353" s="9" t="s">
        <v>45</v>
      </c>
      <c r="L353">
        <f t="shared" si="26"/>
        <v>3</v>
      </c>
      <c r="M353">
        <f t="shared" ca="1" si="29"/>
        <v>53</v>
      </c>
      <c r="N353" s="15">
        <f t="shared" si="27"/>
        <v>0</v>
      </c>
      <c r="O353" t="str">
        <f t="shared" ca="1" si="28"/>
        <v>31-60 Days</v>
      </c>
    </row>
    <row r="354" spans="1:15" x14ac:dyDescent="0.3">
      <c r="A354" s="2" t="s">
        <v>838</v>
      </c>
      <c r="B354" s="3" t="s">
        <v>268</v>
      </c>
      <c r="C354" s="2" t="s">
        <v>33</v>
      </c>
      <c r="D354" s="2" t="str">
        <f t="shared" si="25"/>
        <v>Oct</v>
      </c>
      <c r="E354" s="24" t="s">
        <v>243</v>
      </c>
      <c r="F354" s="20" t="s">
        <v>259</v>
      </c>
      <c r="G354" s="20" t="s">
        <v>278</v>
      </c>
      <c r="H354" s="20" t="s">
        <v>274</v>
      </c>
      <c r="I354" s="4">
        <v>60000</v>
      </c>
      <c r="J354" s="4">
        <v>45000</v>
      </c>
      <c r="K354" s="13" t="s">
        <v>113</v>
      </c>
      <c r="L354">
        <f t="shared" si="26"/>
        <v>3</v>
      </c>
      <c r="M354">
        <f t="shared" ca="1" si="29"/>
        <v>15</v>
      </c>
      <c r="N354" s="15">
        <f t="shared" si="27"/>
        <v>15000</v>
      </c>
      <c r="O354" t="str">
        <f t="shared" ca="1" si="28"/>
        <v>0-30 Days</v>
      </c>
    </row>
    <row r="355" spans="1:15" x14ac:dyDescent="0.3">
      <c r="A355" s="6" t="s">
        <v>839</v>
      </c>
      <c r="B355" s="7" t="s">
        <v>519</v>
      </c>
      <c r="C355" s="6" t="s">
        <v>12</v>
      </c>
      <c r="D355" s="2" t="str">
        <f t="shared" si="25"/>
        <v>Dec</v>
      </c>
      <c r="E355" s="25" t="s">
        <v>663</v>
      </c>
      <c r="F355" s="21" t="s">
        <v>544</v>
      </c>
      <c r="G355" s="21" t="s">
        <v>840</v>
      </c>
      <c r="H355" s="21"/>
      <c r="I355" s="8">
        <v>25000</v>
      </c>
      <c r="J355" s="8">
        <v>0</v>
      </c>
      <c r="K355" s="12" t="s">
        <v>71</v>
      </c>
      <c r="L355">
        <f t="shared" si="26"/>
        <v>3</v>
      </c>
      <c r="M355">
        <f t="shared" ca="1" si="29"/>
        <v>170</v>
      </c>
      <c r="N355" s="15">
        <f t="shared" si="27"/>
        <v>25000</v>
      </c>
      <c r="O355" t="str">
        <f t="shared" ca="1" si="28"/>
        <v>90+ Days</v>
      </c>
    </row>
    <row r="356" spans="1:15" x14ac:dyDescent="0.3">
      <c r="A356" s="2" t="s">
        <v>841</v>
      </c>
      <c r="B356" s="3" t="s">
        <v>130</v>
      </c>
      <c r="C356" s="2" t="s">
        <v>12</v>
      </c>
      <c r="D356" s="2" t="str">
        <f t="shared" si="25"/>
        <v>Apr</v>
      </c>
      <c r="E356" s="24" t="s">
        <v>405</v>
      </c>
      <c r="F356" s="20" t="s">
        <v>412</v>
      </c>
      <c r="G356" s="20" t="s">
        <v>842</v>
      </c>
      <c r="H356" s="20"/>
      <c r="I356" s="4">
        <v>30000</v>
      </c>
      <c r="J356" s="4">
        <v>0</v>
      </c>
      <c r="K356" s="12" t="s">
        <v>71</v>
      </c>
      <c r="L356">
        <f t="shared" si="26"/>
        <v>1</v>
      </c>
      <c r="M356">
        <f t="shared" ca="1" si="29"/>
        <v>416</v>
      </c>
      <c r="N356" s="15">
        <f t="shared" si="27"/>
        <v>30000</v>
      </c>
      <c r="O356" t="str">
        <f t="shared" ca="1" si="28"/>
        <v>90+ Days</v>
      </c>
    </row>
    <row r="357" spans="1:15" x14ac:dyDescent="0.3">
      <c r="A357" s="6" t="s">
        <v>843</v>
      </c>
      <c r="B357" s="7" t="s">
        <v>601</v>
      </c>
      <c r="C357" s="6" t="s">
        <v>40</v>
      </c>
      <c r="D357" s="2" t="str">
        <f t="shared" si="25"/>
        <v>Sep</v>
      </c>
      <c r="E357" s="25" t="s">
        <v>131</v>
      </c>
      <c r="F357" s="21" t="s">
        <v>132</v>
      </c>
      <c r="G357" s="21" t="s">
        <v>133</v>
      </c>
      <c r="H357" s="21" t="s">
        <v>307</v>
      </c>
      <c r="I357" s="8">
        <v>100000</v>
      </c>
      <c r="J357" s="8">
        <v>100000</v>
      </c>
      <c r="K357" s="9" t="s">
        <v>45</v>
      </c>
      <c r="L357">
        <f t="shared" si="26"/>
        <v>1</v>
      </c>
      <c r="M357">
        <f t="shared" ca="1" si="29"/>
        <v>42</v>
      </c>
      <c r="N357" s="15">
        <f t="shared" si="27"/>
        <v>0</v>
      </c>
      <c r="O357" t="str">
        <f t="shared" ca="1" si="28"/>
        <v>31-60 Days</v>
      </c>
    </row>
    <row r="358" spans="1:15" x14ac:dyDescent="0.3">
      <c r="A358" s="2" t="s">
        <v>844</v>
      </c>
      <c r="B358" s="3" t="s">
        <v>489</v>
      </c>
      <c r="C358" s="2" t="s">
        <v>40</v>
      </c>
      <c r="D358" s="2" t="str">
        <f t="shared" si="25"/>
        <v>Oct</v>
      </c>
      <c r="E358" s="24" t="s">
        <v>244</v>
      </c>
      <c r="F358" s="20" t="s">
        <v>133</v>
      </c>
      <c r="G358" s="20" t="s">
        <v>326</v>
      </c>
      <c r="H358" s="20" t="s">
        <v>126</v>
      </c>
      <c r="I358" s="4">
        <v>10000</v>
      </c>
      <c r="J358" s="4">
        <v>10000</v>
      </c>
      <c r="K358" s="5" t="s">
        <v>17</v>
      </c>
      <c r="L358">
        <f t="shared" si="26"/>
        <v>1</v>
      </c>
      <c r="M358">
        <f t="shared" ca="1" si="29"/>
        <v>17</v>
      </c>
      <c r="N358" s="15">
        <f t="shared" si="27"/>
        <v>0</v>
      </c>
      <c r="O358" t="str">
        <f t="shared" ca="1" si="28"/>
        <v>0-30 Days</v>
      </c>
    </row>
    <row r="359" spans="1:15" x14ac:dyDescent="0.3">
      <c r="A359" s="6" t="s">
        <v>845</v>
      </c>
      <c r="B359" s="7" t="s">
        <v>309</v>
      </c>
      <c r="C359" s="6" t="s">
        <v>12</v>
      </c>
      <c r="D359" s="2" t="str">
        <f t="shared" si="25"/>
        <v>Sep</v>
      </c>
      <c r="E359" s="25" t="s">
        <v>542</v>
      </c>
      <c r="F359" s="21" t="s">
        <v>291</v>
      </c>
      <c r="G359" s="21" t="s">
        <v>647</v>
      </c>
      <c r="H359" s="21"/>
      <c r="I359" s="8">
        <v>18000</v>
      </c>
      <c r="J359" s="8">
        <v>0</v>
      </c>
      <c r="K359" s="12" t="s">
        <v>71</v>
      </c>
      <c r="L359">
        <f t="shared" si="26"/>
        <v>3</v>
      </c>
      <c r="M359">
        <f t="shared" ca="1" si="29"/>
        <v>283</v>
      </c>
      <c r="N359" s="15">
        <f t="shared" si="27"/>
        <v>18000</v>
      </c>
      <c r="O359" t="str">
        <f t="shared" ca="1" si="28"/>
        <v>90+ Days</v>
      </c>
    </row>
    <row r="360" spans="1:15" x14ac:dyDescent="0.3">
      <c r="A360" s="2" t="s">
        <v>846</v>
      </c>
      <c r="B360" s="3" t="s">
        <v>402</v>
      </c>
      <c r="C360" s="2" t="s">
        <v>12</v>
      </c>
      <c r="D360" s="2" t="str">
        <f t="shared" si="25"/>
        <v>Feb</v>
      </c>
      <c r="E360" s="24" t="s">
        <v>638</v>
      </c>
      <c r="F360" s="20" t="s">
        <v>649</v>
      </c>
      <c r="G360" s="20" t="s">
        <v>250</v>
      </c>
      <c r="H360" s="20" t="s">
        <v>81</v>
      </c>
      <c r="I360" s="4">
        <v>75000</v>
      </c>
      <c r="J360" s="4">
        <v>75000</v>
      </c>
      <c r="K360" s="9" t="s">
        <v>45</v>
      </c>
      <c r="L360">
        <f t="shared" si="26"/>
        <v>1</v>
      </c>
      <c r="M360">
        <f t="shared" ca="1" si="29"/>
        <v>45</v>
      </c>
      <c r="N360" s="15">
        <f t="shared" si="27"/>
        <v>0</v>
      </c>
      <c r="O360" t="str">
        <f t="shared" ca="1" si="28"/>
        <v>31-60 Days</v>
      </c>
    </row>
    <row r="361" spans="1:15" x14ac:dyDescent="0.3">
      <c r="A361" s="6" t="s">
        <v>847</v>
      </c>
      <c r="B361" s="7" t="s">
        <v>489</v>
      </c>
      <c r="C361" s="6" t="s">
        <v>40</v>
      </c>
      <c r="D361" s="2" t="str">
        <f t="shared" si="25"/>
        <v>Dec</v>
      </c>
      <c r="E361" s="25" t="s">
        <v>145</v>
      </c>
      <c r="F361" s="21" t="s">
        <v>146</v>
      </c>
      <c r="G361" s="21" t="s">
        <v>147</v>
      </c>
      <c r="H361" s="21" t="s">
        <v>848</v>
      </c>
      <c r="I361" s="8">
        <v>100000</v>
      </c>
      <c r="J361" s="8">
        <v>100000</v>
      </c>
      <c r="K361" s="5" t="s">
        <v>17</v>
      </c>
      <c r="L361">
        <f t="shared" si="26"/>
        <v>3</v>
      </c>
      <c r="M361">
        <f t="shared" ca="1" si="29"/>
        <v>22</v>
      </c>
      <c r="N361" s="15">
        <f t="shared" si="27"/>
        <v>0</v>
      </c>
      <c r="O361" t="str">
        <f t="shared" ca="1" si="28"/>
        <v>0-30 Days</v>
      </c>
    </row>
    <row r="362" spans="1:15" x14ac:dyDescent="0.3">
      <c r="A362" s="2" t="s">
        <v>849</v>
      </c>
      <c r="B362" s="3" t="s">
        <v>11</v>
      </c>
      <c r="C362" s="2" t="s">
        <v>12</v>
      </c>
      <c r="D362" s="2" t="str">
        <f t="shared" si="25"/>
        <v>Oct</v>
      </c>
      <c r="E362" s="24" t="s">
        <v>126</v>
      </c>
      <c r="F362" s="20" t="s">
        <v>215</v>
      </c>
      <c r="G362" s="20" t="s">
        <v>91</v>
      </c>
      <c r="H362" s="20" t="s">
        <v>37</v>
      </c>
      <c r="I362" s="4">
        <v>20000</v>
      </c>
      <c r="J362" s="4">
        <v>20000</v>
      </c>
      <c r="K362" s="5" t="s">
        <v>17</v>
      </c>
      <c r="L362">
        <f t="shared" si="26"/>
        <v>1</v>
      </c>
      <c r="M362">
        <f t="shared" ca="1" si="29"/>
        <v>6</v>
      </c>
      <c r="N362" s="15">
        <f t="shared" si="27"/>
        <v>0</v>
      </c>
      <c r="O362" t="str">
        <f t="shared" ca="1" si="28"/>
        <v>0-30 Days</v>
      </c>
    </row>
    <row r="363" spans="1:15" x14ac:dyDescent="0.3">
      <c r="A363" s="6" t="s">
        <v>850</v>
      </c>
      <c r="B363" s="7" t="s">
        <v>702</v>
      </c>
      <c r="C363" s="6" t="s">
        <v>40</v>
      </c>
      <c r="D363" s="2" t="str">
        <f t="shared" si="25"/>
        <v>Sep</v>
      </c>
      <c r="E363" s="25" t="s">
        <v>599</v>
      </c>
      <c r="F363" s="21" t="s">
        <v>118</v>
      </c>
      <c r="G363" s="21" t="s">
        <v>273</v>
      </c>
      <c r="H363" s="21" t="s">
        <v>243</v>
      </c>
      <c r="I363" s="8">
        <v>60000</v>
      </c>
      <c r="J363" s="8">
        <v>60000</v>
      </c>
      <c r="K363" s="5" t="s">
        <v>17</v>
      </c>
      <c r="L363">
        <f t="shared" si="26"/>
        <v>1</v>
      </c>
      <c r="M363">
        <f t="shared" ca="1" si="29"/>
        <v>15</v>
      </c>
      <c r="N363" s="15">
        <f t="shared" si="27"/>
        <v>0</v>
      </c>
      <c r="O363" t="str">
        <f t="shared" ca="1" si="28"/>
        <v>0-30 Days</v>
      </c>
    </row>
    <row r="364" spans="1:15" x14ac:dyDescent="0.3">
      <c r="A364" s="2" t="s">
        <v>851</v>
      </c>
      <c r="B364" s="3" t="s">
        <v>519</v>
      </c>
      <c r="C364" s="2" t="s">
        <v>12</v>
      </c>
      <c r="D364" s="2" t="str">
        <f t="shared" si="25"/>
        <v>Apr</v>
      </c>
      <c r="E364" s="24" t="s">
        <v>412</v>
      </c>
      <c r="F364" s="20" t="s">
        <v>208</v>
      </c>
      <c r="G364" s="20" t="s">
        <v>386</v>
      </c>
      <c r="H364" s="20" t="s">
        <v>235</v>
      </c>
      <c r="I364" s="4">
        <v>45000</v>
      </c>
      <c r="J364" s="4">
        <v>22500</v>
      </c>
      <c r="K364" s="13" t="s">
        <v>113</v>
      </c>
      <c r="L364">
        <f t="shared" si="26"/>
        <v>2</v>
      </c>
      <c r="M364">
        <f t="shared" ca="1" si="29"/>
        <v>10</v>
      </c>
      <c r="N364" s="15">
        <f t="shared" si="27"/>
        <v>22500</v>
      </c>
      <c r="O364" t="str">
        <f t="shared" ca="1" si="28"/>
        <v>0-30 Days</v>
      </c>
    </row>
    <row r="365" spans="1:15" x14ac:dyDescent="0.3">
      <c r="A365" s="6" t="s">
        <v>852</v>
      </c>
      <c r="B365" s="7" t="s">
        <v>780</v>
      </c>
      <c r="C365" s="6" t="s">
        <v>26</v>
      </c>
      <c r="D365" s="2" t="str">
        <f t="shared" si="25"/>
        <v>Nov</v>
      </c>
      <c r="E365" s="25" t="s">
        <v>732</v>
      </c>
      <c r="F365" s="21" t="s">
        <v>271</v>
      </c>
      <c r="G365" s="21" t="s">
        <v>663</v>
      </c>
      <c r="H365" s="21" t="s">
        <v>281</v>
      </c>
      <c r="I365" s="8">
        <v>50000</v>
      </c>
      <c r="J365" s="8">
        <v>50000</v>
      </c>
      <c r="K365" s="5" t="s">
        <v>17</v>
      </c>
      <c r="L365">
        <f t="shared" si="26"/>
        <v>3</v>
      </c>
      <c r="M365">
        <f t="shared" ca="1" si="29"/>
        <v>14</v>
      </c>
      <c r="N365" s="15">
        <f t="shared" si="27"/>
        <v>0</v>
      </c>
      <c r="O365" t="str">
        <f t="shared" ca="1" si="28"/>
        <v>0-30 Days</v>
      </c>
    </row>
    <row r="366" spans="1:15" x14ac:dyDescent="0.3">
      <c r="A366" s="2" t="s">
        <v>853</v>
      </c>
      <c r="B366" s="3" t="s">
        <v>300</v>
      </c>
      <c r="C366" s="2" t="s">
        <v>12</v>
      </c>
      <c r="D366" s="2" t="str">
        <f t="shared" si="25"/>
        <v>Oct</v>
      </c>
      <c r="E366" s="24" t="s">
        <v>183</v>
      </c>
      <c r="F366" s="20" t="s">
        <v>416</v>
      </c>
      <c r="G366" s="20" t="s">
        <v>269</v>
      </c>
      <c r="H366" s="20" t="s">
        <v>547</v>
      </c>
      <c r="I366" s="4">
        <v>45000</v>
      </c>
      <c r="J366" s="4">
        <v>45000</v>
      </c>
      <c r="K366" s="9" t="s">
        <v>45</v>
      </c>
      <c r="L366">
        <f t="shared" si="26"/>
        <v>1</v>
      </c>
      <c r="M366">
        <f t="shared" ca="1" si="29"/>
        <v>49</v>
      </c>
      <c r="N366" s="15">
        <f t="shared" si="27"/>
        <v>0</v>
      </c>
      <c r="O366" t="str">
        <f t="shared" ca="1" si="28"/>
        <v>31-60 Days</v>
      </c>
    </row>
    <row r="367" spans="1:15" x14ac:dyDescent="0.3">
      <c r="A367" s="6" t="s">
        <v>854</v>
      </c>
      <c r="B367" s="7" t="s">
        <v>325</v>
      </c>
      <c r="C367" s="6" t="s">
        <v>12</v>
      </c>
      <c r="D367" s="2" t="str">
        <f t="shared" si="25"/>
        <v>Mar</v>
      </c>
      <c r="E367" s="25" t="s">
        <v>249</v>
      </c>
      <c r="F367" s="21" t="s">
        <v>48</v>
      </c>
      <c r="G367" s="21" t="s">
        <v>539</v>
      </c>
      <c r="H367" s="21"/>
      <c r="I367" s="8">
        <v>75000</v>
      </c>
      <c r="J367" s="8">
        <v>0</v>
      </c>
      <c r="K367" s="10" t="s">
        <v>57</v>
      </c>
      <c r="L367">
        <f t="shared" si="26"/>
        <v>1</v>
      </c>
      <c r="M367">
        <f t="shared" ca="1" si="29"/>
        <v>452</v>
      </c>
      <c r="N367" s="15">
        <f t="shared" si="27"/>
        <v>75000</v>
      </c>
      <c r="O367" t="str">
        <f t="shared" ca="1" si="28"/>
        <v>90+ Days</v>
      </c>
    </row>
    <row r="368" spans="1:15" x14ac:dyDescent="0.3">
      <c r="A368" s="2" t="s">
        <v>855</v>
      </c>
      <c r="B368" s="3" t="s">
        <v>494</v>
      </c>
      <c r="C368" s="2" t="s">
        <v>12</v>
      </c>
      <c r="D368" s="2" t="str">
        <f t="shared" si="25"/>
        <v>Jan</v>
      </c>
      <c r="E368" s="24" t="s">
        <v>753</v>
      </c>
      <c r="F368" s="20" t="s">
        <v>330</v>
      </c>
      <c r="G368" s="20" t="s">
        <v>20</v>
      </c>
      <c r="H368" s="20" t="s">
        <v>247</v>
      </c>
      <c r="I368" s="4">
        <v>10000</v>
      </c>
      <c r="J368" s="4">
        <v>10000</v>
      </c>
      <c r="K368" s="5" t="s">
        <v>17</v>
      </c>
      <c r="L368">
        <f t="shared" si="26"/>
        <v>1</v>
      </c>
      <c r="M368">
        <f t="shared" ca="1" si="29"/>
        <v>25</v>
      </c>
      <c r="N368" s="15">
        <f t="shared" si="27"/>
        <v>0</v>
      </c>
      <c r="O368" t="str">
        <f t="shared" ca="1" si="28"/>
        <v>0-30 Days</v>
      </c>
    </row>
    <row r="369" spans="1:15" x14ac:dyDescent="0.3">
      <c r="A369" s="6" t="s">
        <v>856</v>
      </c>
      <c r="B369" s="7" t="s">
        <v>103</v>
      </c>
      <c r="C369" s="6" t="s">
        <v>12</v>
      </c>
      <c r="D369" s="2" t="str">
        <f t="shared" si="25"/>
        <v>Oct</v>
      </c>
      <c r="E369" s="25" t="s">
        <v>307</v>
      </c>
      <c r="F369" s="21" t="s">
        <v>327</v>
      </c>
      <c r="G369" s="21" t="s">
        <v>166</v>
      </c>
      <c r="H369" s="21"/>
      <c r="I369" s="8">
        <v>30000</v>
      </c>
      <c r="J369" s="8">
        <v>0</v>
      </c>
      <c r="K369" s="12" t="s">
        <v>71</v>
      </c>
      <c r="L369">
        <f t="shared" si="26"/>
        <v>2</v>
      </c>
      <c r="M369">
        <f t="shared" ca="1" si="29"/>
        <v>234</v>
      </c>
      <c r="N369" s="15">
        <f t="shared" si="27"/>
        <v>30000</v>
      </c>
      <c r="O369" t="str">
        <f t="shared" ca="1" si="28"/>
        <v>90+ Days</v>
      </c>
    </row>
    <row r="370" spans="1:15" x14ac:dyDescent="0.3">
      <c r="A370" s="2" t="s">
        <v>857</v>
      </c>
      <c r="B370" s="3" t="s">
        <v>482</v>
      </c>
      <c r="C370" s="2" t="s">
        <v>26</v>
      </c>
      <c r="D370" s="2" t="str">
        <f t="shared" si="25"/>
        <v>Nov</v>
      </c>
      <c r="E370" s="24" t="s">
        <v>418</v>
      </c>
      <c r="F370" s="20" t="s">
        <v>373</v>
      </c>
      <c r="G370" s="20" t="s">
        <v>409</v>
      </c>
      <c r="H370" s="20" t="s">
        <v>94</v>
      </c>
      <c r="I370" s="4">
        <v>5000</v>
      </c>
      <c r="J370" s="4">
        <v>5000</v>
      </c>
      <c r="K370" s="5" t="s">
        <v>17</v>
      </c>
      <c r="L370">
        <f t="shared" si="26"/>
        <v>3</v>
      </c>
      <c r="M370">
        <f t="shared" ca="1" si="29"/>
        <v>25</v>
      </c>
      <c r="N370" s="15">
        <f t="shared" si="27"/>
        <v>0</v>
      </c>
      <c r="O370" t="str">
        <f t="shared" ca="1" si="28"/>
        <v>0-30 Days</v>
      </c>
    </row>
    <row r="371" spans="1:15" x14ac:dyDescent="0.3">
      <c r="A371" s="6" t="s">
        <v>858</v>
      </c>
      <c r="B371" s="7" t="s">
        <v>170</v>
      </c>
      <c r="C371" s="6" t="s">
        <v>12</v>
      </c>
      <c r="D371" s="2" t="str">
        <f t="shared" si="25"/>
        <v>May</v>
      </c>
      <c r="E371" s="25" t="s">
        <v>210</v>
      </c>
      <c r="F371" s="21" t="s">
        <v>507</v>
      </c>
      <c r="G371" s="21" t="s">
        <v>178</v>
      </c>
      <c r="H371" s="21" t="s">
        <v>387</v>
      </c>
      <c r="I371" s="8">
        <v>60000</v>
      </c>
      <c r="J371" s="8">
        <v>60000</v>
      </c>
      <c r="K371" s="5" t="s">
        <v>17</v>
      </c>
      <c r="L371">
        <f t="shared" si="26"/>
        <v>3</v>
      </c>
      <c r="M371">
        <f t="shared" ca="1" si="29"/>
        <v>26</v>
      </c>
      <c r="N371" s="15">
        <f t="shared" si="27"/>
        <v>0</v>
      </c>
      <c r="O371" t="str">
        <f t="shared" ca="1" si="28"/>
        <v>0-30 Days</v>
      </c>
    </row>
    <row r="372" spans="1:15" x14ac:dyDescent="0.3">
      <c r="A372" s="2" t="s">
        <v>859</v>
      </c>
      <c r="B372" s="3" t="s">
        <v>108</v>
      </c>
      <c r="C372" s="2" t="s">
        <v>12</v>
      </c>
      <c r="D372" s="2" t="str">
        <f t="shared" si="25"/>
        <v>Jun</v>
      </c>
      <c r="E372" s="24" t="s">
        <v>517</v>
      </c>
      <c r="F372" s="20" t="s">
        <v>792</v>
      </c>
      <c r="G372" s="20" t="s">
        <v>44</v>
      </c>
      <c r="H372" s="20" t="s">
        <v>475</v>
      </c>
      <c r="I372" s="4">
        <v>10000</v>
      </c>
      <c r="J372" s="4">
        <v>10000</v>
      </c>
      <c r="K372" s="9" t="s">
        <v>45</v>
      </c>
      <c r="L372">
        <f t="shared" si="26"/>
        <v>2</v>
      </c>
      <c r="M372">
        <f t="shared" ca="1" si="29"/>
        <v>36</v>
      </c>
      <c r="N372" s="15">
        <f t="shared" si="27"/>
        <v>0</v>
      </c>
      <c r="O372" t="str">
        <f t="shared" ca="1" si="28"/>
        <v>31-60 Days</v>
      </c>
    </row>
    <row r="373" spans="1:15" x14ac:dyDescent="0.3">
      <c r="A373" s="6" t="s">
        <v>860</v>
      </c>
      <c r="B373" s="7" t="s">
        <v>242</v>
      </c>
      <c r="C373" s="6" t="s">
        <v>12</v>
      </c>
      <c r="D373" s="2" t="str">
        <f t="shared" si="25"/>
        <v>Aug</v>
      </c>
      <c r="E373" s="25" t="s">
        <v>227</v>
      </c>
      <c r="F373" s="21" t="s">
        <v>333</v>
      </c>
      <c r="G373" s="21" t="s">
        <v>88</v>
      </c>
      <c r="H373" s="21" t="s">
        <v>61</v>
      </c>
      <c r="I373" s="8">
        <v>22000</v>
      </c>
      <c r="J373" s="8">
        <v>22000</v>
      </c>
      <c r="K373" s="5" t="s">
        <v>17</v>
      </c>
      <c r="L373">
        <f t="shared" si="26"/>
        <v>2</v>
      </c>
      <c r="M373">
        <f t="shared" ca="1" si="29"/>
        <v>24</v>
      </c>
      <c r="N373" s="15">
        <f t="shared" si="27"/>
        <v>0</v>
      </c>
      <c r="O373" t="str">
        <f t="shared" ca="1" si="28"/>
        <v>0-30 Days</v>
      </c>
    </row>
    <row r="374" spans="1:15" x14ac:dyDescent="0.3">
      <c r="A374" s="2" t="s">
        <v>861</v>
      </c>
      <c r="B374" s="3" t="s">
        <v>407</v>
      </c>
      <c r="C374" s="2" t="s">
        <v>33</v>
      </c>
      <c r="D374" s="2" t="str">
        <f t="shared" si="25"/>
        <v>Jun</v>
      </c>
      <c r="E374" s="24" t="s">
        <v>474</v>
      </c>
      <c r="F374" s="20" t="s">
        <v>112</v>
      </c>
      <c r="G374" s="20" t="s">
        <v>194</v>
      </c>
      <c r="H374" s="20"/>
      <c r="I374" s="4">
        <v>75000</v>
      </c>
      <c r="J374" s="4">
        <v>0</v>
      </c>
      <c r="K374" s="12" t="s">
        <v>71</v>
      </c>
      <c r="L374">
        <f t="shared" si="26"/>
        <v>3</v>
      </c>
      <c r="M374">
        <f t="shared" ca="1" si="29"/>
        <v>368</v>
      </c>
      <c r="N374" s="15">
        <f t="shared" si="27"/>
        <v>75000</v>
      </c>
      <c r="O374" t="str">
        <f t="shared" ca="1" si="28"/>
        <v>90+ Days</v>
      </c>
    </row>
    <row r="375" spans="1:15" x14ac:dyDescent="0.3">
      <c r="A375" s="6" t="s">
        <v>862</v>
      </c>
      <c r="B375" s="7" t="s">
        <v>347</v>
      </c>
      <c r="C375" s="6" t="s">
        <v>12</v>
      </c>
      <c r="D375" s="2" t="str">
        <f t="shared" si="25"/>
        <v>Jul</v>
      </c>
      <c r="E375" s="25" t="s">
        <v>355</v>
      </c>
      <c r="F375" s="21" t="s">
        <v>196</v>
      </c>
      <c r="G375" s="21" t="s">
        <v>60</v>
      </c>
      <c r="H375" s="21" t="s">
        <v>340</v>
      </c>
      <c r="I375" s="8">
        <v>100000</v>
      </c>
      <c r="J375" s="8">
        <v>100000</v>
      </c>
      <c r="K375" s="5" t="s">
        <v>17</v>
      </c>
      <c r="L375">
        <f t="shared" si="26"/>
        <v>1</v>
      </c>
      <c r="M375">
        <f t="shared" ca="1" si="29"/>
        <v>8</v>
      </c>
      <c r="N375" s="15">
        <f t="shared" si="27"/>
        <v>0</v>
      </c>
      <c r="O375" t="str">
        <f t="shared" ca="1" si="28"/>
        <v>0-30 Days</v>
      </c>
    </row>
    <row r="376" spans="1:15" x14ac:dyDescent="0.3">
      <c r="A376" s="2" t="s">
        <v>863</v>
      </c>
      <c r="B376" s="3" t="s">
        <v>431</v>
      </c>
      <c r="C376" s="2" t="s">
        <v>12</v>
      </c>
      <c r="D376" s="2" t="str">
        <f t="shared" si="25"/>
        <v>May</v>
      </c>
      <c r="E376" s="24" t="s">
        <v>411</v>
      </c>
      <c r="F376" s="20" t="s">
        <v>239</v>
      </c>
      <c r="G376" s="20" t="s">
        <v>560</v>
      </c>
      <c r="H376" s="20" t="s">
        <v>109</v>
      </c>
      <c r="I376" s="4">
        <v>15000</v>
      </c>
      <c r="J376" s="4">
        <v>15000</v>
      </c>
      <c r="K376" s="5" t="s">
        <v>17</v>
      </c>
      <c r="L376">
        <f t="shared" si="26"/>
        <v>2</v>
      </c>
      <c r="M376">
        <f t="shared" ca="1" si="29"/>
        <v>12</v>
      </c>
      <c r="N376" s="15">
        <f t="shared" si="27"/>
        <v>0</v>
      </c>
      <c r="O376" t="str">
        <f t="shared" ca="1" si="28"/>
        <v>0-30 Days</v>
      </c>
    </row>
    <row r="377" spans="1:15" x14ac:dyDescent="0.3">
      <c r="A377" s="6" t="s">
        <v>864</v>
      </c>
      <c r="B377" s="7" t="s">
        <v>407</v>
      </c>
      <c r="C377" s="6" t="s">
        <v>33</v>
      </c>
      <c r="D377" s="2" t="str">
        <f t="shared" si="25"/>
        <v>Feb</v>
      </c>
      <c r="E377" s="25" t="s">
        <v>265</v>
      </c>
      <c r="F377" s="21" t="s">
        <v>314</v>
      </c>
      <c r="G377" s="21" t="s">
        <v>49</v>
      </c>
      <c r="H377" s="21"/>
      <c r="I377" s="8">
        <v>60000</v>
      </c>
      <c r="J377" s="8">
        <v>0</v>
      </c>
      <c r="K377" s="11" t="s">
        <v>63</v>
      </c>
      <c r="L377">
        <f t="shared" si="26"/>
        <v>1</v>
      </c>
      <c r="M377">
        <f t="shared" ca="1" si="29"/>
        <v>481</v>
      </c>
      <c r="N377" s="15">
        <f t="shared" si="27"/>
        <v>60000</v>
      </c>
      <c r="O377" t="str">
        <f t="shared" ca="1" si="28"/>
        <v>90+ Days</v>
      </c>
    </row>
    <row r="378" spans="1:15" x14ac:dyDescent="0.3">
      <c r="A378" s="2" t="s">
        <v>865</v>
      </c>
      <c r="B378" s="3" t="s">
        <v>300</v>
      </c>
      <c r="C378" s="2" t="s">
        <v>12</v>
      </c>
      <c r="D378" s="2" t="str">
        <f t="shared" si="25"/>
        <v>Aug</v>
      </c>
      <c r="E378" s="24" t="s">
        <v>333</v>
      </c>
      <c r="F378" s="20" t="s">
        <v>56</v>
      </c>
      <c r="G378" s="20" t="s">
        <v>542</v>
      </c>
      <c r="H378" s="20"/>
      <c r="I378" s="4">
        <v>25000</v>
      </c>
      <c r="J378" s="4">
        <v>0</v>
      </c>
      <c r="K378" s="10" t="s">
        <v>57</v>
      </c>
      <c r="L378">
        <f t="shared" si="26"/>
        <v>1</v>
      </c>
      <c r="M378">
        <f t="shared" ca="1" si="29"/>
        <v>316</v>
      </c>
      <c r="N378" s="15">
        <f t="shared" si="27"/>
        <v>25000</v>
      </c>
      <c r="O378" t="str">
        <f t="shared" ca="1" si="28"/>
        <v>90+ Days</v>
      </c>
    </row>
    <row r="379" spans="1:15" x14ac:dyDescent="0.3">
      <c r="A379" s="6" t="s">
        <v>866</v>
      </c>
      <c r="B379" s="7" t="s">
        <v>402</v>
      </c>
      <c r="C379" s="6" t="s">
        <v>12</v>
      </c>
      <c r="D379" s="2" t="str">
        <f t="shared" si="25"/>
        <v>Jun</v>
      </c>
      <c r="E379" s="25" t="s">
        <v>474</v>
      </c>
      <c r="F379" s="21" t="s">
        <v>368</v>
      </c>
      <c r="G379" s="21" t="s">
        <v>86</v>
      </c>
      <c r="H379" s="21" t="s">
        <v>354</v>
      </c>
      <c r="I379" s="8">
        <v>25000</v>
      </c>
      <c r="J379" s="8">
        <v>25000</v>
      </c>
      <c r="K379" s="5" t="s">
        <v>17</v>
      </c>
      <c r="L379">
        <f t="shared" si="26"/>
        <v>1</v>
      </c>
      <c r="M379">
        <f t="shared" ca="1" si="29"/>
        <v>21</v>
      </c>
      <c r="N379" s="15">
        <f t="shared" si="27"/>
        <v>0</v>
      </c>
      <c r="O379" t="str">
        <f t="shared" ca="1" si="28"/>
        <v>0-30 Days</v>
      </c>
    </row>
    <row r="380" spans="1:15" x14ac:dyDescent="0.3">
      <c r="A380" s="2" t="s">
        <v>867</v>
      </c>
      <c r="B380" s="3" t="s">
        <v>489</v>
      </c>
      <c r="C380" s="2" t="s">
        <v>40</v>
      </c>
      <c r="D380" s="2" t="str">
        <f t="shared" si="25"/>
        <v>Sep</v>
      </c>
      <c r="E380" s="24" t="s">
        <v>116</v>
      </c>
      <c r="F380" s="20" t="s">
        <v>117</v>
      </c>
      <c r="G380" s="20" t="s">
        <v>34</v>
      </c>
      <c r="H380" s="20" t="s">
        <v>416</v>
      </c>
      <c r="I380" s="4">
        <v>35000</v>
      </c>
      <c r="J380" s="4">
        <v>35000</v>
      </c>
      <c r="K380" s="5" t="s">
        <v>17</v>
      </c>
      <c r="L380">
        <f t="shared" si="26"/>
        <v>2</v>
      </c>
      <c r="M380">
        <f t="shared" ca="1" si="29"/>
        <v>17</v>
      </c>
      <c r="N380" s="15">
        <f t="shared" si="27"/>
        <v>0</v>
      </c>
      <c r="O380" t="str">
        <f t="shared" ca="1" si="28"/>
        <v>0-30 Days</v>
      </c>
    </row>
    <row r="381" spans="1:15" x14ac:dyDescent="0.3">
      <c r="A381" s="6" t="s">
        <v>868</v>
      </c>
      <c r="B381" s="7" t="s">
        <v>293</v>
      </c>
      <c r="C381" s="6" t="s">
        <v>12</v>
      </c>
      <c r="D381" s="2" t="str">
        <f t="shared" si="25"/>
        <v>Aug</v>
      </c>
      <c r="E381" s="25" t="s">
        <v>256</v>
      </c>
      <c r="F381" s="21" t="s">
        <v>60</v>
      </c>
      <c r="G381" s="21" t="s">
        <v>599</v>
      </c>
      <c r="H381" s="21" t="s">
        <v>290</v>
      </c>
      <c r="I381" s="8">
        <v>30000</v>
      </c>
      <c r="J381" s="8">
        <v>30000</v>
      </c>
      <c r="K381" s="9" t="s">
        <v>45</v>
      </c>
      <c r="L381">
        <f t="shared" si="26"/>
        <v>1</v>
      </c>
      <c r="M381">
        <f t="shared" ca="1" si="29"/>
        <v>32</v>
      </c>
      <c r="N381" s="15">
        <f t="shared" si="27"/>
        <v>0</v>
      </c>
      <c r="O381" t="str">
        <f t="shared" ca="1" si="28"/>
        <v>31-60 Days</v>
      </c>
    </row>
    <row r="382" spans="1:15" x14ac:dyDescent="0.3">
      <c r="A382" s="2" t="s">
        <v>869</v>
      </c>
      <c r="B382" s="3" t="s">
        <v>313</v>
      </c>
      <c r="C382" s="2" t="s">
        <v>33</v>
      </c>
      <c r="D382" s="2" t="str">
        <f t="shared" si="25"/>
        <v>May</v>
      </c>
      <c r="E382" s="24" t="s">
        <v>426</v>
      </c>
      <c r="F382" s="20" t="s">
        <v>385</v>
      </c>
      <c r="G382" s="20" t="s">
        <v>311</v>
      </c>
      <c r="H382" s="20" t="s">
        <v>507</v>
      </c>
      <c r="I382" s="4">
        <v>35000</v>
      </c>
      <c r="J382" s="4">
        <v>35000</v>
      </c>
      <c r="K382" s="5" t="s">
        <v>17</v>
      </c>
      <c r="L382">
        <f t="shared" si="26"/>
        <v>2</v>
      </c>
      <c r="M382">
        <f t="shared" ca="1" si="29"/>
        <v>5</v>
      </c>
      <c r="N382" s="15">
        <f t="shared" si="27"/>
        <v>0</v>
      </c>
      <c r="O382" t="str">
        <f t="shared" ca="1" si="28"/>
        <v>0-30 Days</v>
      </c>
    </row>
    <row r="383" spans="1:15" x14ac:dyDescent="0.3">
      <c r="A383" s="6" t="s">
        <v>870</v>
      </c>
      <c r="B383" s="7" t="s">
        <v>234</v>
      </c>
      <c r="C383" s="6" t="s">
        <v>40</v>
      </c>
      <c r="D383" s="2" t="str">
        <f t="shared" si="25"/>
        <v>Aug</v>
      </c>
      <c r="E383" s="25" t="s">
        <v>480</v>
      </c>
      <c r="F383" s="21" t="s">
        <v>87</v>
      </c>
      <c r="G383" s="21" t="s">
        <v>484</v>
      </c>
      <c r="H383" s="21"/>
      <c r="I383" s="8">
        <v>50000</v>
      </c>
      <c r="J383" s="8">
        <v>0</v>
      </c>
      <c r="K383" s="12" t="s">
        <v>71</v>
      </c>
      <c r="L383">
        <f t="shared" si="26"/>
        <v>1</v>
      </c>
      <c r="M383">
        <f t="shared" ca="1" si="29"/>
        <v>310</v>
      </c>
      <c r="N383" s="15">
        <f t="shared" si="27"/>
        <v>50000</v>
      </c>
      <c r="O383" t="str">
        <f t="shared" ca="1" si="28"/>
        <v>90+ Days</v>
      </c>
    </row>
    <row r="384" spans="1:15" x14ac:dyDescent="0.3">
      <c r="A384" s="2" t="s">
        <v>871</v>
      </c>
      <c r="B384" s="3" t="s">
        <v>160</v>
      </c>
      <c r="C384" s="2" t="s">
        <v>40</v>
      </c>
      <c r="D384" s="2" t="str">
        <f t="shared" si="25"/>
        <v>Jul</v>
      </c>
      <c r="E384" s="24" t="s">
        <v>253</v>
      </c>
      <c r="F384" s="20" t="s">
        <v>554</v>
      </c>
      <c r="G384" s="20" t="s">
        <v>61</v>
      </c>
      <c r="H384" s="20" t="s">
        <v>445</v>
      </c>
      <c r="I384" s="4">
        <v>8000</v>
      </c>
      <c r="J384" s="4">
        <v>8000</v>
      </c>
      <c r="K384" s="5" t="s">
        <v>17</v>
      </c>
      <c r="L384">
        <f t="shared" si="26"/>
        <v>2</v>
      </c>
      <c r="M384">
        <f t="shared" ca="1" si="29"/>
        <v>23</v>
      </c>
      <c r="N384" s="15">
        <f t="shared" si="27"/>
        <v>0</v>
      </c>
      <c r="O384" t="str">
        <f t="shared" ca="1" si="28"/>
        <v>0-30 Days</v>
      </c>
    </row>
    <row r="385" spans="1:15" x14ac:dyDescent="0.3">
      <c r="A385" s="6" t="s">
        <v>872</v>
      </c>
      <c r="B385" s="7" t="s">
        <v>660</v>
      </c>
      <c r="C385" s="6" t="s">
        <v>12</v>
      </c>
      <c r="D385" s="2" t="str">
        <f t="shared" si="25"/>
        <v>Apr</v>
      </c>
      <c r="E385" s="25" t="s">
        <v>403</v>
      </c>
      <c r="F385" s="21" t="s">
        <v>477</v>
      </c>
      <c r="G385" s="21" t="s">
        <v>367</v>
      </c>
      <c r="H385" s="21" t="s">
        <v>209</v>
      </c>
      <c r="I385" s="8">
        <v>55000</v>
      </c>
      <c r="J385" s="8">
        <v>55000</v>
      </c>
      <c r="K385" s="5" t="s">
        <v>17</v>
      </c>
      <c r="L385">
        <f t="shared" si="26"/>
        <v>2</v>
      </c>
      <c r="M385">
        <f t="shared" ca="1" si="29"/>
        <v>17</v>
      </c>
      <c r="N385" s="15">
        <f t="shared" si="27"/>
        <v>0</v>
      </c>
      <c r="O385" t="str">
        <f t="shared" ca="1" si="28"/>
        <v>0-30 Days</v>
      </c>
    </row>
    <row r="386" spans="1:15" x14ac:dyDescent="0.3">
      <c r="A386" s="2" t="s">
        <v>873</v>
      </c>
      <c r="B386" s="3" t="s">
        <v>293</v>
      </c>
      <c r="C386" s="2" t="s">
        <v>12</v>
      </c>
      <c r="D386" s="2" t="str">
        <f t="shared" si="25"/>
        <v>Aug</v>
      </c>
      <c r="E386" s="24" t="s">
        <v>534</v>
      </c>
      <c r="F386" s="20" t="s">
        <v>157</v>
      </c>
      <c r="G386" s="20" t="s">
        <v>158</v>
      </c>
      <c r="H386" s="20"/>
      <c r="I386" s="4">
        <v>50000</v>
      </c>
      <c r="J386" s="4">
        <v>0</v>
      </c>
      <c r="K386" s="10" t="s">
        <v>57</v>
      </c>
      <c r="L386">
        <f t="shared" si="26"/>
        <v>3</v>
      </c>
      <c r="M386">
        <f t="shared" ca="1" si="29"/>
        <v>298</v>
      </c>
      <c r="N386" s="15">
        <f t="shared" si="27"/>
        <v>50000</v>
      </c>
      <c r="O386" t="str">
        <f t="shared" ca="1" si="28"/>
        <v>90+ Days</v>
      </c>
    </row>
    <row r="387" spans="1:15" x14ac:dyDescent="0.3">
      <c r="A387" s="6" t="s">
        <v>874</v>
      </c>
      <c r="B387" s="7" t="s">
        <v>68</v>
      </c>
      <c r="C387" s="6" t="s">
        <v>33</v>
      </c>
      <c r="D387" s="2" t="str">
        <f t="shared" ref="D387:D450" si="30">MID(E387, 4, 3)</f>
        <v>Dec</v>
      </c>
      <c r="E387" s="25" t="s">
        <v>145</v>
      </c>
      <c r="F387" s="21" t="s">
        <v>146</v>
      </c>
      <c r="G387" s="21" t="s">
        <v>147</v>
      </c>
      <c r="H387" s="21" t="s">
        <v>580</v>
      </c>
      <c r="I387" s="8">
        <v>15000</v>
      </c>
      <c r="J387" s="8">
        <v>15000</v>
      </c>
      <c r="K387" s="5" t="s">
        <v>17</v>
      </c>
      <c r="L387">
        <f t="shared" ref="L387:L450" si="31">F387-E387</f>
        <v>3</v>
      </c>
      <c r="M387">
        <f t="shared" ca="1" si="29"/>
        <v>8</v>
      </c>
      <c r="N387" s="15">
        <f t="shared" ref="N387:N450" si="32">I387-J387</f>
        <v>0</v>
      </c>
      <c r="O387" t="str">
        <f t="shared" ref="O387:O450" ca="1" si="33">IF(M387&lt;=30,"0-30 Days",
IF(M387&lt;=60,"31-60 Days",
IF(M387&lt;=90,"61-90 Days","90+ Days")))</f>
        <v>0-30 Days</v>
      </c>
    </row>
    <row r="388" spans="1:15" x14ac:dyDescent="0.3">
      <c r="A388" s="2" t="s">
        <v>875</v>
      </c>
      <c r="B388" s="3" t="s">
        <v>876</v>
      </c>
      <c r="C388" s="2" t="s">
        <v>12</v>
      </c>
      <c r="D388" s="2" t="str">
        <f t="shared" si="30"/>
        <v>Jul</v>
      </c>
      <c r="E388" s="24" t="s">
        <v>86</v>
      </c>
      <c r="F388" s="20" t="s">
        <v>194</v>
      </c>
      <c r="G388" s="20" t="s">
        <v>195</v>
      </c>
      <c r="H388" s="20" t="s">
        <v>523</v>
      </c>
      <c r="I388" s="4">
        <v>55000</v>
      </c>
      <c r="J388" s="4">
        <v>13750</v>
      </c>
      <c r="K388" s="13" t="s">
        <v>113</v>
      </c>
      <c r="L388">
        <f t="shared" si="31"/>
        <v>2</v>
      </c>
      <c r="M388">
        <f t="shared" ref="M388:M451" ca="1" si="34">IF(H388="",TODAY()-F388,H388-F388)</f>
        <v>14</v>
      </c>
      <c r="N388" s="15">
        <f t="shared" si="32"/>
        <v>41250</v>
      </c>
      <c r="O388" t="str">
        <f t="shared" ca="1" si="33"/>
        <v>0-30 Days</v>
      </c>
    </row>
    <row r="389" spans="1:15" x14ac:dyDescent="0.3">
      <c r="A389" s="6" t="s">
        <v>877</v>
      </c>
      <c r="B389" s="7" t="s">
        <v>389</v>
      </c>
      <c r="C389" s="6" t="s">
        <v>12</v>
      </c>
      <c r="D389" s="2" t="str">
        <f t="shared" si="30"/>
        <v>Sep</v>
      </c>
      <c r="E389" s="25" t="s">
        <v>589</v>
      </c>
      <c r="F389" s="21" t="s">
        <v>535</v>
      </c>
      <c r="G389" s="21" t="s">
        <v>602</v>
      </c>
      <c r="H389" s="21" t="s">
        <v>62</v>
      </c>
      <c r="I389" s="8">
        <v>45000</v>
      </c>
      <c r="J389" s="8">
        <v>45000</v>
      </c>
      <c r="K389" s="5" t="s">
        <v>17</v>
      </c>
      <c r="L389">
        <f t="shared" si="31"/>
        <v>2</v>
      </c>
      <c r="M389">
        <f t="shared" ca="1" si="34"/>
        <v>6</v>
      </c>
      <c r="N389" s="15">
        <f t="shared" si="32"/>
        <v>0</v>
      </c>
      <c r="O389" t="str">
        <f t="shared" ca="1" si="33"/>
        <v>0-30 Days</v>
      </c>
    </row>
    <row r="390" spans="1:15" x14ac:dyDescent="0.3">
      <c r="A390" s="2" t="s">
        <v>878</v>
      </c>
      <c r="B390" s="3" t="s">
        <v>457</v>
      </c>
      <c r="C390" s="2" t="s">
        <v>40</v>
      </c>
      <c r="D390" s="2" t="str">
        <f t="shared" si="30"/>
        <v>Jun</v>
      </c>
      <c r="E390" s="24" t="s">
        <v>350</v>
      </c>
      <c r="F390" s="20" t="s">
        <v>879</v>
      </c>
      <c r="G390" s="20" t="s">
        <v>765</v>
      </c>
      <c r="H390" s="20" t="s">
        <v>345</v>
      </c>
      <c r="I390" s="4">
        <v>45000</v>
      </c>
      <c r="J390" s="4">
        <v>45000</v>
      </c>
      <c r="K390" s="5" t="s">
        <v>17</v>
      </c>
      <c r="L390">
        <f t="shared" si="31"/>
        <v>2</v>
      </c>
      <c r="M390">
        <f t="shared" ca="1" si="34"/>
        <v>24</v>
      </c>
      <c r="N390" s="15">
        <f t="shared" si="32"/>
        <v>0</v>
      </c>
      <c r="O390" t="str">
        <f t="shared" ca="1" si="33"/>
        <v>0-30 Days</v>
      </c>
    </row>
    <row r="391" spans="1:15" x14ac:dyDescent="0.3">
      <c r="A391" s="6" t="s">
        <v>880</v>
      </c>
      <c r="B391" s="7" t="s">
        <v>130</v>
      </c>
      <c r="C391" s="6" t="s">
        <v>12</v>
      </c>
      <c r="D391" s="2" t="str">
        <f t="shared" si="30"/>
        <v>Mar</v>
      </c>
      <c r="E391" s="25" t="s">
        <v>771</v>
      </c>
      <c r="F391" s="21" t="s">
        <v>23</v>
      </c>
      <c r="G391" s="21" t="s">
        <v>467</v>
      </c>
      <c r="H391" s="21" t="s">
        <v>51</v>
      </c>
      <c r="I391" s="8">
        <v>75000</v>
      </c>
      <c r="J391" s="8">
        <v>75000</v>
      </c>
      <c r="K391" s="5" t="s">
        <v>17</v>
      </c>
      <c r="L391">
        <f t="shared" si="31"/>
        <v>2</v>
      </c>
      <c r="M391">
        <f t="shared" ca="1" si="34"/>
        <v>24</v>
      </c>
      <c r="N391" s="15">
        <f t="shared" si="32"/>
        <v>0</v>
      </c>
      <c r="O391" t="str">
        <f t="shared" ca="1" si="33"/>
        <v>0-30 Days</v>
      </c>
    </row>
    <row r="392" spans="1:15" x14ac:dyDescent="0.3">
      <c r="A392" s="2" t="s">
        <v>881</v>
      </c>
      <c r="B392" s="3" t="s">
        <v>19</v>
      </c>
      <c r="C392" s="2" t="s">
        <v>12</v>
      </c>
      <c r="D392" s="2" t="str">
        <f t="shared" si="30"/>
        <v>Jun</v>
      </c>
      <c r="E392" s="24" t="s">
        <v>369</v>
      </c>
      <c r="F392" s="20" t="s">
        <v>295</v>
      </c>
      <c r="G392" s="20" t="s">
        <v>634</v>
      </c>
      <c r="H392" s="20" t="s">
        <v>387</v>
      </c>
      <c r="I392" s="4">
        <v>75000</v>
      </c>
      <c r="J392" s="4">
        <v>75000</v>
      </c>
      <c r="K392" s="5" t="s">
        <v>17</v>
      </c>
      <c r="L392">
        <f t="shared" si="31"/>
        <v>3</v>
      </c>
      <c r="M392">
        <f t="shared" ca="1" si="34"/>
        <v>21</v>
      </c>
      <c r="N392" s="15">
        <f t="shared" si="32"/>
        <v>0</v>
      </c>
      <c r="O392" t="str">
        <f t="shared" ca="1" si="33"/>
        <v>0-30 Days</v>
      </c>
    </row>
    <row r="393" spans="1:15" x14ac:dyDescent="0.3">
      <c r="A393" s="6" t="s">
        <v>882</v>
      </c>
      <c r="B393" s="7" t="s">
        <v>454</v>
      </c>
      <c r="C393" s="6" t="s">
        <v>12</v>
      </c>
      <c r="D393" s="2" t="str">
        <f t="shared" si="30"/>
        <v>Sep</v>
      </c>
      <c r="E393" s="25" t="s">
        <v>483</v>
      </c>
      <c r="F393" s="21" t="s">
        <v>132</v>
      </c>
      <c r="G393" s="21" t="s">
        <v>133</v>
      </c>
      <c r="H393" s="21" t="s">
        <v>672</v>
      </c>
      <c r="I393" s="8">
        <v>60000</v>
      </c>
      <c r="J393" s="8">
        <v>60000</v>
      </c>
      <c r="K393" s="5" t="s">
        <v>17</v>
      </c>
      <c r="L393">
        <f t="shared" si="31"/>
        <v>3</v>
      </c>
      <c r="M393">
        <f t="shared" ca="1" si="34"/>
        <v>5</v>
      </c>
      <c r="N393" s="15">
        <f t="shared" si="32"/>
        <v>0</v>
      </c>
      <c r="O393" t="str">
        <f t="shared" ca="1" si="33"/>
        <v>0-30 Days</v>
      </c>
    </row>
    <row r="394" spans="1:15" x14ac:dyDescent="0.3">
      <c r="A394" s="2" t="s">
        <v>883</v>
      </c>
      <c r="B394" s="3" t="s">
        <v>658</v>
      </c>
      <c r="C394" s="2" t="s">
        <v>12</v>
      </c>
      <c r="D394" s="2" t="str">
        <f t="shared" si="30"/>
        <v>Jun</v>
      </c>
      <c r="E394" s="24" t="s">
        <v>153</v>
      </c>
      <c r="F394" s="20" t="s">
        <v>879</v>
      </c>
      <c r="G394" s="20" t="s">
        <v>765</v>
      </c>
      <c r="H394" s="20"/>
      <c r="I394" s="4">
        <v>15000</v>
      </c>
      <c r="J394" s="4">
        <v>0</v>
      </c>
      <c r="K394" s="11" t="s">
        <v>63</v>
      </c>
      <c r="L394">
        <f t="shared" si="31"/>
        <v>3</v>
      </c>
      <c r="M394">
        <f t="shared" ca="1" si="34"/>
        <v>359</v>
      </c>
      <c r="N394" s="15">
        <f t="shared" si="32"/>
        <v>15000</v>
      </c>
      <c r="O394" t="str">
        <f t="shared" ca="1" si="33"/>
        <v>90+ Days</v>
      </c>
    </row>
    <row r="395" spans="1:15" x14ac:dyDescent="0.3">
      <c r="A395" s="6" t="s">
        <v>884</v>
      </c>
      <c r="B395" s="7" t="s">
        <v>325</v>
      </c>
      <c r="C395" s="6" t="s">
        <v>12</v>
      </c>
      <c r="D395" s="2" t="str">
        <f t="shared" si="30"/>
        <v>Jun</v>
      </c>
      <c r="E395" s="25" t="s">
        <v>154</v>
      </c>
      <c r="F395" s="21" t="s">
        <v>474</v>
      </c>
      <c r="G395" s="21" t="s">
        <v>475</v>
      </c>
      <c r="H395" s="21" t="s">
        <v>443</v>
      </c>
      <c r="I395" s="8">
        <v>5000</v>
      </c>
      <c r="J395" s="8">
        <v>5000</v>
      </c>
      <c r="K395" s="9" t="s">
        <v>45</v>
      </c>
      <c r="L395">
        <f t="shared" si="31"/>
        <v>3</v>
      </c>
      <c r="M395">
        <f t="shared" ca="1" si="34"/>
        <v>39</v>
      </c>
      <c r="N395" s="15">
        <f t="shared" si="32"/>
        <v>0</v>
      </c>
      <c r="O395" t="str">
        <f t="shared" ca="1" si="33"/>
        <v>31-60 Days</v>
      </c>
    </row>
    <row r="396" spans="1:15" x14ac:dyDescent="0.3">
      <c r="A396" s="2" t="s">
        <v>885</v>
      </c>
      <c r="B396" s="3" t="s">
        <v>115</v>
      </c>
      <c r="C396" s="2" t="s">
        <v>12</v>
      </c>
      <c r="D396" s="2" t="str">
        <f t="shared" si="30"/>
        <v>Oct</v>
      </c>
      <c r="E396" s="24" t="s">
        <v>273</v>
      </c>
      <c r="F396" s="20" t="s">
        <v>274</v>
      </c>
      <c r="G396" s="20" t="s">
        <v>142</v>
      </c>
      <c r="H396" s="20"/>
      <c r="I396" s="4">
        <v>40000</v>
      </c>
      <c r="J396" s="4">
        <v>0</v>
      </c>
      <c r="K396" s="12" t="s">
        <v>71</v>
      </c>
      <c r="L396">
        <f t="shared" si="31"/>
        <v>3</v>
      </c>
      <c r="M396">
        <f t="shared" ca="1" si="34"/>
        <v>232</v>
      </c>
      <c r="N396" s="15">
        <f t="shared" si="32"/>
        <v>40000</v>
      </c>
      <c r="O396" t="str">
        <f t="shared" ca="1" si="33"/>
        <v>90+ Days</v>
      </c>
    </row>
    <row r="397" spans="1:15" x14ac:dyDescent="0.3">
      <c r="A397" s="6" t="s">
        <v>886</v>
      </c>
      <c r="B397" s="7" t="s">
        <v>325</v>
      </c>
      <c r="C397" s="6" t="s">
        <v>12</v>
      </c>
      <c r="D397" s="2" t="str">
        <f t="shared" si="30"/>
        <v>Sep</v>
      </c>
      <c r="E397" s="25" t="s">
        <v>542</v>
      </c>
      <c r="F397" s="21" t="s">
        <v>399</v>
      </c>
      <c r="G397" s="21" t="s">
        <v>400</v>
      </c>
      <c r="H397" s="21" t="s">
        <v>273</v>
      </c>
      <c r="I397" s="8">
        <v>45000</v>
      </c>
      <c r="J397" s="8">
        <v>45000</v>
      </c>
      <c r="K397" s="9" t="s">
        <v>45</v>
      </c>
      <c r="L397">
        <f t="shared" si="31"/>
        <v>1</v>
      </c>
      <c r="M397">
        <f t="shared" ca="1" si="34"/>
        <v>50</v>
      </c>
      <c r="N397" s="15">
        <f t="shared" si="32"/>
        <v>0</v>
      </c>
      <c r="O397" t="str">
        <f t="shared" ca="1" si="33"/>
        <v>31-60 Days</v>
      </c>
    </row>
    <row r="398" spans="1:15" x14ac:dyDescent="0.3">
      <c r="A398" s="2" t="s">
        <v>887</v>
      </c>
      <c r="B398" s="3" t="s">
        <v>718</v>
      </c>
      <c r="C398" s="2" t="s">
        <v>12</v>
      </c>
      <c r="D398" s="2" t="str">
        <f t="shared" si="30"/>
        <v>Jul</v>
      </c>
      <c r="E398" s="24" t="s">
        <v>888</v>
      </c>
      <c r="F398" s="20" t="s">
        <v>344</v>
      </c>
      <c r="G398" s="20" t="s">
        <v>815</v>
      </c>
      <c r="H398" s="20" t="s">
        <v>699</v>
      </c>
      <c r="I398" s="4">
        <v>40000</v>
      </c>
      <c r="J398" s="4">
        <v>40000</v>
      </c>
      <c r="K398" s="5" t="s">
        <v>17</v>
      </c>
      <c r="L398">
        <f t="shared" si="31"/>
        <v>1</v>
      </c>
      <c r="M398">
        <f t="shared" ca="1" si="34"/>
        <v>27</v>
      </c>
      <c r="N398" s="15">
        <f t="shared" si="32"/>
        <v>0</v>
      </c>
      <c r="O398" t="str">
        <f t="shared" ca="1" si="33"/>
        <v>0-30 Days</v>
      </c>
    </row>
    <row r="399" spans="1:15" x14ac:dyDescent="0.3">
      <c r="A399" s="6" t="s">
        <v>889</v>
      </c>
      <c r="B399" s="7" t="s">
        <v>587</v>
      </c>
      <c r="C399" s="6" t="s">
        <v>26</v>
      </c>
      <c r="D399" s="2" t="str">
        <f t="shared" si="30"/>
        <v>Apr</v>
      </c>
      <c r="E399" s="25" t="s">
        <v>51</v>
      </c>
      <c r="F399" s="21" t="s">
        <v>222</v>
      </c>
      <c r="G399" s="21" t="s">
        <v>223</v>
      </c>
      <c r="H399" s="21" t="s">
        <v>890</v>
      </c>
      <c r="I399" s="8">
        <v>22000</v>
      </c>
      <c r="J399" s="8">
        <v>22000</v>
      </c>
      <c r="K399" s="5" t="s">
        <v>17</v>
      </c>
      <c r="L399">
        <f t="shared" si="31"/>
        <v>1</v>
      </c>
      <c r="M399">
        <f t="shared" ca="1" si="34"/>
        <v>9</v>
      </c>
      <c r="N399" s="15">
        <f t="shared" si="32"/>
        <v>0</v>
      </c>
      <c r="O399" t="str">
        <f t="shared" ca="1" si="33"/>
        <v>0-30 Days</v>
      </c>
    </row>
    <row r="400" spans="1:15" x14ac:dyDescent="0.3">
      <c r="A400" s="2" t="s">
        <v>891</v>
      </c>
      <c r="B400" s="3" t="s">
        <v>221</v>
      </c>
      <c r="C400" s="2" t="s">
        <v>12</v>
      </c>
      <c r="D400" s="2" t="str">
        <f t="shared" si="30"/>
        <v>Dec</v>
      </c>
      <c r="E400" s="24" t="s">
        <v>189</v>
      </c>
      <c r="F400" s="20" t="s">
        <v>190</v>
      </c>
      <c r="G400" s="20" t="s">
        <v>191</v>
      </c>
      <c r="H400" s="20" t="s">
        <v>615</v>
      </c>
      <c r="I400" s="4">
        <v>18000</v>
      </c>
      <c r="J400" s="4">
        <v>18000</v>
      </c>
      <c r="K400" s="5" t="s">
        <v>17</v>
      </c>
      <c r="L400">
        <f t="shared" si="31"/>
        <v>1</v>
      </c>
      <c r="M400">
        <f t="shared" ca="1" si="34"/>
        <v>24</v>
      </c>
      <c r="N400" s="15">
        <f t="shared" si="32"/>
        <v>0</v>
      </c>
      <c r="O400" t="str">
        <f t="shared" ca="1" si="33"/>
        <v>0-30 Days</v>
      </c>
    </row>
    <row r="401" spans="1:15" x14ac:dyDescent="0.3">
      <c r="A401" s="6" t="s">
        <v>892</v>
      </c>
      <c r="B401" s="7" t="s">
        <v>461</v>
      </c>
      <c r="C401" s="6" t="s">
        <v>12</v>
      </c>
      <c r="D401" s="2" t="str">
        <f t="shared" si="30"/>
        <v>Feb</v>
      </c>
      <c r="E401" s="25" t="s">
        <v>230</v>
      </c>
      <c r="F401" s="21" t="s">
        <v>200</v>
      </c>
      <c r="G401" s="21" t="s">
        <v>201</v>
      </c>
      <c r="H401" s="21" t="s">
        <v>503</v>
      </c>
      <c r="I401" s="8">
        <v>20000</v>
      </c>
      <c r="J401" s="8">
        <v>20000</v>
      </c>
      <c r="K401" s="5" t="s">
        <v>17</v>
      </c>
      <c r="L401">
        <f t="shared" si="31"/>
        <v>3</v>
      </c>
      <c r="M401">
        <f t="shared" ca="1" si="34"/>
        <v>22</v>
      </c>
      <c r="N401" s="15">
        <f t="shared" si="32"/>
        <v>0</v>
      </c>
      <c r="O401" t="str">
        <f t="shared" ca="1" si="33"/>
        <v>0-30 Days</v>
      </c>
    </row>
    <row r="402" spans="1:15" x14ac:dyDescent="0.3">
      <c r="A402" s="2" t="s">
        <v>893</v>
      </c>
      <c r="B402" s="3" t="s">
        <v>497</v>
      </c>
      <c r="C402" s="2" t="s">
        <v>33</v>
      </c>
      <c r="D402" s="2" t="str">
        <f t="shared" si="30"/>
        <v>Dec</v>
      </c>
      <c r="E402" s="24" t="s">
        <v>75</v>
      </c>
      <c r="F402" s="20" t="s">
        <v>509</v>
      </c>
      <c r="G402" s="20" t="s">
        <v>894</v>
      </c>
      <c r="H402" s="20" t="s">
        <v>146</v>
      </c>
      <c r="I402" s="4">
        <v>45000</v>
      </c>
      <c r="J402" s="4">
        <v>45000</v>
      </c>
      <c r="K402" s="5" t="s">
        <v>17</v>
      </c>
      <c r="L402">
        <f t="shared" si="31"/>
        <v>2</v>
      </c>
      <c r="M402">
        <f t="shared" ca="1" si="34"/>
        <v>10</v>
      </c>
      <c r="N402" s="15">
        <f t="shared" si="32"/>
        <v>0</v>
      </c>
      <c r="O402" t="str">
        <f t="shared" ca="1" si="33"/>
        <v>0-30 Days</v>
      </c>
    </row>
    <row r="403" spans="1:15" x14ac:dyDescent="0.3">
      <c r="A403" s="6" t="s">
        <v>895</v>
      </c>
      <c r="B403" s="7" t="s">
        <v>716</v>
      </c>
      <c r="C403" s="6" t="s">
        <v>12</v>
      </c>
      <c r="D403" s="2" t="str">
        <f t="shared" si="30"/>
        <v>Sep</v>
      </c>
      <c r="E403" s="25" t="s">
        <v>172</v>
      </c>
      <c r="F403" s="21" t="s">
        <v>416</v>
      </c>
      <c r="G403" s="21" t="s">
        <v>269</v>
      </c>
      <c r="H403" s="21" t="s">
        <v>173</v>
      </c>
      <c r="I403" s="8">
        <v>55000</v>
      </c>
      <c r="J403" s="8">
        <v>55000</v>
      </c>
      <c r="K403" s="5" t="s">
        <v>17</v>
      </c>
      <c r="L403">
        <f t="shared" si="31"/>
        <v>2</v>
      </c>
      <c r="M403">
        <f t="shared" ca="1" si="34"/>
        <v>28</v>
      </c>
      <c r="N403" s="15">
        <f t="shared" si="32"/>
        <v>0</v>
      </c>
      <c r="O403" t="str">
        <f t="shared" ca="1" si="33"/>
        <v>0-30 Days</v>
      </c>
    </row>
    <row r="404" spans="1:15" x14ac:dyDescent="0.3">
      <c r="A404" s="2" t="s">
        <v>896</v>
      </c>
      <c r="B404" s="3" t="s">
        <v>90</v>
      </c>
      <c r="C404" s="2" t="s">
        <v>12</v>
      </c>
      <c r="D404" s="2" t="str">
        <f t="shared" si="30"/>
        <v>Nov</v>
      </c>
      <c r="E404" s="24" t="s">
        <v>142</v>
      </c>
      <c r="F404" s="20" t="s">
        <v>92</v>
      </c>
      <c r="G404" s="20" t="s">
        <v>93</v>
      </c>
      <c r="H404" s="20" t="s">
        <v>76</v>
      </c>
      <c r="I404" s="4">
        <v>50000</v>
      </c>
      <c r="J404" s="4">
        <v>50000</v>
      </c>
      <c r="K404" s="9" t="s">
        <v>45</v>
      </c>
      <c r="L404">
        <f t="shared" si="31"/>
        <v>3</v>
      </c>
      <c r="M404">
        <f t="shared" ca="1" si="34"/>
        <v>37</v>
      </c>
      <c r="N404" s="15">
        <f t="shared" si="32"/>
        <v>0</v>
      </c>
      <c r="O404" t="str">
        <f t="shared" ca="1" si="33"/>
        <v>31-60 Days</v>
      </c>
    </row>
    <row r="405" spans="1:15" x14ac:dyDescent="0.3">
      <c r="A405" s="6" t="s">
        <v>897</v>
      </c>
      <c r="B405" s="7" t="s">
        <v>120</v>
      </c>
      <c r="C405" s="6" t="s">
        <v>40</v>
      </c>
      <c r="D405" s="2" t="str">
        <f t="shared" si="30"/>
        <v>May</v>
      </c>
      <c r="E405" s="25" t="s">
        <v>41</v>
      </c>
      <c r="F405" s="21" t="s">
        <v>842</v>
      </c>
      <c r="G405" s="21" t="s">
        <v>310</v>
      </c>
      <c r="H405" s="21" t="s">
        <v>396</v>
      </c>
      <c r="I405" s="8">
        <v>60000</v>
      </c>
      <c r="J405" s="8">
        <v>60000</v>
      </c>
      <c r="K405" s="5" t="s">
        <v>17</v>
      </c>
      <c r="L405">
        <f t="shared" si="31"/>
        <v>3</v>
      </c>
      <c r="M405">
        <f t="shared" ca="1" si="34"/>
        <v>14</v>
      </c>
      <c r="N405" s="15">
        <f t="shared" si="32"/>
        <v>0</v>
      </c>
      <c r="O405" t="str">
        <f t="shared" ca="1" si="33"/>
        <v>0-30 Days</v>
      </c>
    </row>
    <row r="406" spans="1:15" x14ac:dyDescent="0.3">
      <c r="A406" s="2" t="s">
        <v>898</v>
      </c>
      <c r="B406" s="3" t="s">
        <v>103</v>
      </c>
      <c r="C406" s="2" t="s">
        <v>12</v>
      </c>
      <c r="D406" s="2" t="str">
        <f t="shared" si="30"/>
        <v>May</v>
      </c>
      <c r="E406" s="24" t="s">
        <v>386</v>
      </c>
      <c r="F406" s="20" t="s">
        <v>506</v>
      </c>
      <c r="G406" s="20" t="s">
        <v>712</v>
      </c>
      <c r="H406" s="20" t="s">
        <v>345</v>
      </c>
      <c r="I406" s="4">
        <v>30000</v>
      </c>
      <c r="J406" s="4">
        <v>30000</v>
      </c>
      <c r="K406" s="9" t="s">
        <v>45</v>
      </c>
      <c r="L406">
        <f t="shared" si="31"/>
        <v>3</v>
      </c>
      <c r="M406">
        <f t="shared" ca="1" si="34"/>
        <v>46</v>
      </c>
      <c r="N406" s="15">
        <f t="shared" si="32"/>
        <v>0</v>
      </c>
      <c r="O406" t="str">
        <f t="shared" ca="1" si="33"/>
        <v>31-60 Days</v>
      </c>
    </row>
    <row r="407" spans="1:15" x14ac:dyDescent="0.3">
      <c r="A407" s="6" t="s">
        <v>899</v>
      </c>
      <c r="B407" s="7" t="s">
        <v>431</v>
      </c>
      <c r="C407" s="6" t="s">
        <v>12</v>
      </c>
      <c r="D407" s="2" t="str">
        <f t="shared" si="30"/>
        <v>Sep</v>
      </c>
      <c r="E407" s="25" t="s">
        <v>542</v>
      </c>
      <c r="F407" s="21" t="s">
        <v>670</v>
      </c>
      <c r="G407" s="21" t="s">
        <v>432</v>
      </c>
      <c r="H407" s="21" t="s">
        <v>737</v>
      </c>
      <c r="I407" s="8">
        <v>55000</v>
      </c>
      <c r="J407" s="8">
        <v>27500</v>
      </c>
      <c r="K407" s="13" t="s">
        <v>113</v>
      </c>
      <c r="L407">
        <f t="shared" si="31"/>
        <v>2</v>
      </c>
      <c r="M407">
        <f t="shared" ca="1" si="34"/>
        <v>22</v>
      </c>
      <c r="N407" s="15">
        <f t="shared" si="32"/>
        <v>27500</v>
      </c>
      <c r="O407" t="str">
        <f t="shared" ca="1" si="33"/>
        <v>0-30 Days</v>
      </c>
    </row>
    <row r="408" spans="1:15" x14ac:dyDescent="0.3">
      <c r="A408" s="2" t="s">
        <v>900</v>
      </c>
      <c r="B408" s="3" t="s">
        <v>702</v>
      </c>
      <c r="C408" s="2" t="s">
        <v>40</v>
      </c>
      <c r="D408" s="2" t="str">
        <f t="shared" si="30"/>
        <v>Oct</v>
      </c>
      <c r="E408" s="24" t="s">
        <v>392</v>
      </c>
      <c r="F408" s="20" t="s">
        <v>273</v>
      </c>
      <c r="G408" s="20" t="s">
        <v>441</v>
      </c>
      <c r="H408" s="20" t="s">
        <v>326</v>
      </c>
      <c r="I408" s="4">
        <v>55000</v>
      </c>
      <c r="J408" s="4">
        <v>55000</v>
      </c>
      <c r="K408" s="5" t="s">
        <v>17</v>
      </c>
      <c r="L408">
        <f t="shared" si="31"/>
        <v>3</v>
      </c>
      <c r="M408">
        <f t="shared" ca="1" si="34"/>
        <v>17</v>
      </c>
      <c r="N408" s="15">
        <f t="shared" si="32"/>
        <v>0</v>
      </c>
      <c r="O408" t="str">
        <f t="shared" ca="1" si="33"/>
        <v>0-30 Days</v>
      </c>
    </row>
    <row r="409" spans="1:15" x14ac:dyDescent="0.3">
      <c r="A409" s="6" t="s">
        <v>901</v>
      </c>
      <c r="B409" s="7" t="s">
        <v>347</v>
      </c>
      <c r="C409" s="6" t="s">
        <v>12</v>
      </c>
      <c r="D409" s="2" t="str">
        <f t="shared" si="30"/>
        <v>Mar</v>
      </c>
      <c r="E409" s="25" t="s">
        <v>331</v>
      </c>
      <c r="F409" s="21" t="s">
        <v>181</v>
      </c>
      <c r="G409" s="21" t="s">
        <v>538</v>
      </c>
      <c r="H409" s="21" t="s">
        <v>467</v>
      </c>
      <c r="I409" s="8">
        <v>8000</v>
      </c>
      <c r="J409" s="8">
        <v>8000</v>
      </c>
      <c r="K409" s="5" t="s">
        <v>17</v>
      </c>
      <c r="L409">
        <f t="shared" si="31"/>
        <v>2</v>
      </c>
      <c r="M409">
        <f t="shared" ca="1" si="34"/>
        <v>27</v>
      </c>
      <c r="N409" s="15">
        <f t="shared" si="32"/>
        <v>0</v>
      </c>
      <c r="O409" t="str">
        <f t="shared" ca="1" si="33"/>
        <v>0-30 Days</v>
      </c>
    </row>
    <row r="410" spans="1:15" x14ac:dyDescent="0.3">
      <c r="A410" s="2" t="s">
        <v>902</v>
      </c>
      <c r="B410" s="3" t="s">
        <v>180</v>
      </c>
      <c r="C410" s="2" t="s">
        <v>33</v>
      </c>
      <c r="D410" s="2" t="str">
        <f t="shared" si="30"/>
        <v>Jun</v>
      </c>
      <c r="E410" s="24" t="s">
        <v>387</v>
      </c>
      <c r="F410" s="20" t="s">
        <v>353</v>
      </c>
      <c r="G410" s="20" t="s">
        <v>584</v>
      </c>
      <c r="H410" s="20"/>
      <c r="I410" s="4">
        <v>50000</v>
      </c>
      <c r="J410" s="4">
        <v>0</v>
      </c>
      <c r="K410" s="12" t="s">
        <v>71</v>
      </c>
      <c r="L410">
        <f t="shared" si="31"/>
        <v>2</v>
      </c>
      <c r="M410">
        <f t="shared" ca="1" si="34"/>
        <v>352</v>
      </c>
      <c r="N410" s="15">
        <f t="shared" si="32"/>
        <v>50000</v>
      </c>
      <c r="O410" t="str">
        <f t="shared" ca="1" si="33"/>
        <v>90+ Days</v>
      </c>
    </row>
    <row r="411" spans="1:15" x14ac:dyDescent="0.3">
      <c r="A411" s="6" t="s">
        <v>903</v>
      </c>
      <c r="B411" s="7" t="s">
        <v>252</v>
      </c>
      <c r="C411" s="6" t="s">
        <v>12</v>
      </c>
      <c r="D411" s="2" t="str">
        <f t="shared" si="30"/>
        <v>Apr</v>
      </c>
      <c r="E411" s="25" t="s">
        <v>467</v>
      </c>
      <c r="F411" s="21" t="s">
        <v>538</v>
      </c>
      <c r="G411" s="21" t="s">
        <v>151</v>
      </c>
      <c r="H411" s="21" t="s">
        <v>223</v>
      </c>
      <c r="I411" s="8">
        <v>50000</v>
      </c>
      <c r="J411" s="8">
        <v>12500</v>
      </c>
      <c r="K411" s="13" t="s">
        <v>113</v>
      </c>
      <c r="L411">
        <f t="shared" si="31"/>
        <v>3</v>
      </c>
      <c r="M411">
        <f t="shared" ca="1" si="34"/>
        <v>22</v>
      </c>
      <c r="N411" s="15">
        <f t="shared" si="32"/>
        <v>37500</v>
      </c>
      <c r="O411" t="str">
        <f t="shared" ca="1" si="33"/>
        <v>0-30 Days</v>
      </c>
    </row>
    <row r="412" spans="1:15" x14ac:dyDescent="0.3">
      <c r="A412" s="2" t="s">
        <v>904</v>
      </c>
      <c r="B412" s="3" t="s">
        <v>234</v>
      </c>
      <c r="C412" s="2" t="s">
        <v>40</v>
      </c>
      <c r="D412" s="2" t="str">
        <f t="shared" si="30"/>
        <v>Nov</v>
      </c>
      <c r="E412" s="24" t="s">
        <v>495</v>
      </c>
      <c r="F412" s="20" t="s">
        <v>36</v>
      </c>
      <c r="G412" s="20" t="s">
        <v>145</v>
      </c>
      <c r="H412" s="20" t="s">
        <v>94</v>
      </c>
      <c r="I412" s="4">
        <v>40000</v>
      </c>
      <c r="J412" s="4">
        <v>40000</v>
      </c>
      <c r="K412" s="5" t="s">
        <v>17</v>
      </c>
      <c r="L412">
        <f t="shared" si="31"/>
        <v>3</v>
      </c>
      <c r="M412">
        <f t="shared" ca="1" si="34"/>
        <v>26</v>
      </c>
      <c r="N412" s="15">
        <f t="shared" si="32"/>
        <v>0</v>
      </c>
      <c r="O412" t="str">
        <f t="shared" ca="1" si="33"/>
        <v>0-30 Days</v>
      </c>
    </row>
    <row r="413" spans="1:15" x14ac:dyDescent="0.3">
      <c r="A413" s="6" t="s">
        <v>905</v>
      </c>
      <c r="B413" s="7" t="s">
        <v>906</v>
      </c>
      <c r="C413" s="6" t="s">
        <v>33</v>
      </c>
      <c r="D413" s="2" t="str">
        <f t="shared" si="30"/>
        <v>Apr</v>
      </c>
      <c r="E413" s="25" t="s">
        <v>412</v>
      </c>
      <c r="F413" s="21" t="s">
        <v>209</v>
      </c>
      <c r="G413" s="21" t="s">
        <v>210</v>
      </c>
      <c r="H413" s="21" t="s">
        <v>151</v>
      </c>
      <c r="I413" s="8">
        <v>40000</v>
      </c>
      <c r="J413" s="8">
        <v>40000</v>
      </c>
      <c r="K413" s="5" t="s">
        <v>17</v>
      </c>
      <c r="L413">
        <f t="shared" si="31"/>
        <v>3</v>
      </c>
      <c r="M413">
        <f t="shared" ca="1" si="34"/>
        <v>18</v>
      </c>
      <c r="N413" s="15">
        <f t="shared" si="32"/>
        <v>0</v>
      </c>
      <c r="O413" t="str">
        <f t="shared" ca="1" si="33"/>
        <v>0-30 Days</v>
      </c>
    </row>
    <row r="414" spans="1:15" x14ac:dyDescent="0.3">
      <c r="A414" s="2" t="s">
        <v>907</v>
      </c>
      <c r="B414" s="3" t="s">
        <v>339</v>
      </c>
      <c r="C414" s="2" t="s">
        <v>12</v>
      </c>
      <c r="D414" s="2" t="str">
        <f t="shared" si="30"/>
        <v>Aug</v>
      </c>
      <c r="E414" s="24" t="s">
        <v>908</v>
      </c>
      <c r="F414" s="20" t="s">
        <v>228</v>
      </c>
      <c r="G414" s="20" t="s">
        <v>172</v>
      </c>
      <c r="H414" s="20" t="s">
        <v>213</v>
      </c>
      <c r="I414" s="4">
        <v>20000</v>
      </c>
      <c r="J414" s="4">
        <v>20000</v>
      </c>
      <c r="K414" s="5" t="s">
        <v>17</v>
      </c>
      <c r="L414">
        <f t="shared" si="31"/>
        <v>1</v>
      </c>
      <c r="M414">
        <f t="shared" ca="1" si="34"/>
        <v>22</v>
      </c>
      <c r="N414" s="15">
        <f t="shared" si="32"/>
        <v>0</v>
      </c>
      <c r="O414" t="str">
        <f t="shared" ca="1" si="33"/>
        <v>0-30 Days</v>
      </c>
    </row>
    <row r="415" spans="1:15" x14ac:dyDescent="0.3">
      <c r="A415" s="6" t="s">
        <v>909</v>
      </c>
      <c r="B415" s="7" t="s">
        <v>84</v>
      </c>
      <c r="C415" s="6" t="s">
        <v>12</v>
      </c>
      <c r="D415" s="2" t="str">
        <f t="shared" si="30"/>
        <v>Jul</v>
      </c>
      <c r="E415" s="25" t="s">
        <v>554</v>
      </c>
      <c r="F415" s="21" t="s">
        <v>337</v>
      </c>
      <c r="G415" s="21" t="s">
        <v>908</v>
      </c>
      <c r="H415" s="21" t="s">
        <v>699</v>
      </c>
      <c r="I415" s="8">
        <v>35000</v>
      </c>
      <c r="J415" s="8">
        <v>35000</v>
      </c>
      <c r="K415" s="5" t="s">
        <v>17</v>
      </c>
      <c r="L415">
        <f t="shared" si="31"/>
        <v>3</v>
      </c>
      <c r="M415">
        <f t="shared" ca="1" si="34"/>
        <v>11</v>
      </c>
      <c r="N415" s="15">
        <f t="shared" si="32"/>
        <v>0</v>
      </c>
      <c r="O415" t="str">
        <f t="shared" ca="1" si="33"/>
        <v>0-30 Days</v>
      </c>
    </row>
    <row r="416" spans="1:15" x14ac:dyDescent="0.3">
      <c r="A416" s="2" t="s">
        <v>910</v>
      </c>
      <c r="B416" s="3" t="s">
        <v>150</v>
      </c>
      <c r="C416" s="2" t="s">
        <v>33</v>
      </c>
      <c r="D416" s="2" t="str">
        <f t="shared" si="30"/>
        <v>May</v>
      </c>
      <c r="E416" s="24" t="s">
        <v>386</v>
      </c>
      <c r="F416" s="20" t="s">
        <v>522</v>
      </c>
      <c r="G416" s="20" t="s">
        <v>353</v>
      </c>
      <c r="H416" s="20" t="s">
        <v>584</v>
      </c>
      <c r="I416" s="4">
        <v>60000</v>
      </c>
      <c r="J416" s="4">
        <v>60000</v>
      </c>
      <c r="K416" s="9" t="s">
        <v>45</v>
      </c>
      <c r="L416">
        <f t="shared" si="31"/>
        <v>2</v>
      </c>
      <c r="M416">
        <f t="shared" ca="1" si="34"/>
        <v>60</v>
      </c>
      <c r="N416" s="15">
        <f t="shared" si="32"/>
        <v>0</v>
      </c>
      <c r="O416" t="str">
        <f t="shared" ca="1" si="33"/>
        <v>31-60 Days</v>
      </c>
    </row>
    <row r="417" spans="1:15" x14ac:dyDescent="0.3">
      <c r="A417" s="6" t="s">
        <v>911</v>
      </c>
      <c r="B417" s="7" t="s">
        <v>103</v>
      </c>
      <c r="C417" s="6" t="s">
        <v>12</v>
      </c>
      <c r="D417" s="2" t="str">
        <f t="shared" si="30"/>
        <v>Feb</v>
      </c>
      <c r="E417" s="25" t="s">
        <v>358</v>
      </c>
      <c r="F417" s="21" t="s">
        <v>248</v>
      </c>
      <c r="G417" s="21" t="s">
        <v>249</v>
      </c>
      <c r="H417" s="21" t="s">
        <v>181</v>
      </c>
      <c r="I417" s="8">
        <v>40000</v>
      </c>
      <c r="J417" s="8">
        <v>40000</v>
      </c>
      <c r="K417" s="5" t="s">
        <v>17</v>
      </c>
      <c r="L417">
        <f t="shared" si="31"/>
        <v>3</v>
      </c>
      <c r="M417">
        <f t="shared" ca="1" si="34"/>
        <v>28</v>
      </c>
      <c r="N417" s="15">
        <f t="shared" si="32"/>
        <v>0</v>
      </c>
      <c r="O417" t="str">
        <f t="shared" ca="1" si="33"/>
        <v>0-30 Days</v>
      </c>
    </row>
    <row r="418" spans="1:15" x14ac:dyDescent="0.3">
      <c r="A418" s="2" t="s">
        <v>912</v>
      </c>
      <c r="B418" s="3" t="s">
        <v>25</v>
      </c>
      <c r="C418" s="2" t="s">
        <v>26</v>
      </c>
      <c r="D418" s="2" t="str">
        <f t="shared" si="30"/>
        <v>Mar</v>
      </c>
      <c r="E418" s="24" t="s">
        <v>381</v>
      </c>
      <c r="F418" s="20" t="s">
        <v>161</v>
      </c>
      <c r="G418" s="20" t="s">
        <v>564</v>
      </c>
      <c r="H418" s="20" t="s">
        <v>222</v>
      </c>
      <c r="I418" s="4">
        <v>25000</v>
      </c>
      <c r="J418" s="4">
        <v>12500</v>
      </c>
      <c r="K418" s="13" t="s">
        <v>113</v>
      </c>
      <c r="L418">
        <f t="shared" si="31"/>
        <v>2</v>
      </c>
      <c r="M418">
        <f t="shared" ca="1" si="34"/>
        <v>7</v>
      </c>
      <c r="N418" s="15">
        <f t="shared" si="32"/>
        <v>12500</v>
      </c>
      <c r="O418" t="str">
        <f t="shared" ca="1" si="33"/>
        <v>0-30 Days</v>
      </c>
    </row>
    <row r="419" spans="1:15" x14ac:dyDescent="0.3">
      <c r="A419" s="6" t="s">
        <v>913</v>
      </c>
      <c r="B419" s="7" t="s">
        <v>258</v>
      </c>
      <c r="C419" s="6" t="s">
        <v>33</v>
      </c>
      <c r="D419" s="2" t="str">
        <f t="shared" si="30"/>
        <v>Sep</v>
      </c>
      <c r="E419" s="25" t="s">
        <v>132</v>
      </c>
      <c r="F419" s="21" t="s">
        <v>667</v>
      </c>
      <c r="G419" s="21" t="s">
        <v>259</v>
      </c>
      <c r="H419" s="21"/>
      <c r="I419" s="8">
        <v>60000</v>
      </c>
      <c r="J419" s="8">
        <v>0</v>
      </c>
      <c r="K419" s="10" t="s">
        <v>57</v>
      </c>
      <c r="L419">
        <f t="shared" si="31"/>
        <v>1</v>
      </c>
      <c r="M419">
        <f t="shared" ca="1" si="34"/>
        <v>277</v>
      </c>
      <c r="N419" s="15">
        <f t="shared" si="32"/>
        <v>60000</v>
      </c>
      <c r="O419" t="str">
        <f t="shared" ca="1" si="33"/>
        <v>90+ Days</v>
      </c>
    </row>
    <row r="420" spans="1:15" x14ac:dyDescent="0.3">
      <c r="A420" s="2" t="s">
        <v>914</v>
      </c>
      <c r="B420" s="3" t="s">
        <v>144</v>
      </c>
      <c r="C420" s="2" t="s">
        <v>12</v>
      </c>
      <c r="D420" s="2" t="str">
        <f t="shared" si="30"/>
        <v>Jun</v>
      </c>
      <c r="E420" s="24" t="s">
        <v>517</v>
      </c>
      <c r="F420" s="20" t="s">
        <v>560</v>
      </c>
      <c r="G420" s="20" t="s">
        <v>55</v>
      </c>
      <c r="H420" s="20" t="s">
        <v>178</v>
      </c>
      <c r="I420" s="4">
        <v>15000</v>
      </c>
      <c r="J420" s="4">
        <v>7500</v>
      </c>
      <c r="K420" s="13" t="s">
        <v>113</v>
      </c>
      <c r="L420">
        <f t="shared" si="31"/>
        <v>3</v>
      </c>
      <c r="M420">
        <f t="shared" ca="1" si="34"/>
        <v>26</v>
      </c>
      <c r="N420" s="15">
        <f t="shared" si="32"/>
        <v>7500</v>
      </c>
      <c r="O420" t="str">
        <f t="shared" ca="1" si="33"/>
        <v>0-30 Days</v>
      </c>
    </row>
    <row r="421" spans="1:15" x14ac:dyDescent="0.3">
      <c r="A421" s="6" t="s">
        <v>915</v>
      </c>
      <c r="B421" s="7" t="s">
        <v>716</v>
      </c>
      <c r="C421" s="6" t="s">
        <v>12</v>
      </c>
      <c r="D421" s="2" t="str">
        <f t="shared" si="30"/>
        <v>Nov</v>
      </c>
      <c r="E421" s="25" t="s">
        <v>271</v>
      </c>
      <c r="F421" s="21" t="s">
        <v>91</v>
      </c>
      <c r="G421" s="21" t="s">
        <v>544</v>
      </c>
      <c r="H421" s="21" t="s">
        <v>168</v>
      </c>
      <c r="I421" s="8">
        <v>45000</v>
      </c>
      <c r="J421" s="8">
        <v>45000</v>
      </c>
      <c r="K421" s="5" t="s">
        <v>17</v>
      </c>
      <c r="L421">
        <f t="shared" si="31"/>
        <v>3</v>
      </c>
      <c r="M421">
        <f t="shared" ca="1" si="34"/>
        <v>9</v>
      </c>
      <c r="N421" s="15">
        <f t="shared" si="32"/>
        <v>0</v>
      </c>
      <c r="O421" t="str">
        <f t="shared" ca="1" si="33"/>
        <v>0-30 Days</v>
      </c>
    </row>
    <row r="422" spans="1:15" x14ac:dyDescent="0.3">
      <c r="A422" s="2" t="s">
        <v>916</v>
      </c>
      <c r="B422" s="3" t="s">
        <v>293</v>
      </c>
      <c r="C422" s="2" t="s">
        <v>12</v>
      </c>
      <c r="D422" s="2" t="str">
        <f t="shared" si="30"/>
        <v>Aug</v>
      </c>
      <c r="E422" s="24" t="s">
        <v>585</v>
      </c>
      <c r="F422" s="20" t="s">
        <v>908</v>
      </c>
      <c r="G422" s="20" t="s">
        <v>171</v>
      </c>
      <c r="H422" s="20"/>
      <c r="I422" s="4">
        <v>30000</v>
      </c>
      <c r="J422" s="4">
        <v>0</v>
      </c>
      <c r="K422" s="10" t="s">
        <v>57</v>
      </c>
      <c r="L422">
        <f t="shared" si="31"/>
        <v>2</v>
      </c>
      <c r="M422">
        <f t="shared" ca="1" si="34"/>
        <v>290</v>
      </c>
      <c r="N422" s="15">
        <f t="shared" si="32"/>
        <v>30000</v>
      </c>
      <c r="O422" t="str">
        <f t="shared" ca="1" si="33"/>
        <v>90+ Days</v>
      </c>
    </row>
    <row r="423" spans="1:15" x14ac:dyDescent="0.3">
      <c r="A423" s="6" t="s">
        <v>917</v>
      </c>
      <c r="B423" s="7" t="s">
        <v>339</v>
      </c>
      <c r="C423" s="6" t="s">
        <v>12</v>
      </c>
      <c r="D423" s="2" t="str">
        <f t="shared" si="30"/>
        <v>Mar</v>
      </c>
      <c r="E423" s="25" t="s">
        <v>81</v>
      </c>
      <c r="F423" s="21" t="s">
        <v>451</v>
      </c>
      <c r="G423" s="21" t="s">
        <v>452</v>
      </c>
      <c r="H423" s="21" t="s">
        <v>152</v>
      </c>
      <c r="I423" s="8">
        <v>22000</v>
      </c>
      <c r="J423" s="8">
        <v>22000</v>
      </c>
      <c r="K423" s="9" t="s">
        <v>45</v>
      </c>
      <c r="L423">
        <f t="shared" si="31"/>
        <v>3</v>
      </c>
      <c r="M423">
        <f t="shared" ca="1" si="34"/>
        <v>53</v>
      </c>
      <c r="N423" s="15">
        <f t="shared" si="32"/>
        <v>0</v>
      </c>
      <c r="O423" t="str">
        <f t="shared" ca="1" si="33"/>
        <v>31-60 Days</v>
      </c>
    </row>
    <row r="424" spans="1:15" x14ac:dyDescent="0.3">
      <c r="A424" s="2" t="s">
        <v>918</v>
      </c>
      <c r="B424" s="3" t="s">
        <v>822</v>
      </c>
      <c r="C424" s="2" t="s">
        <v>26</v>
      </c>
      <c r="D424" s="2" t="str">
        <f t="shared" si="30"/>
        <v>Jan</v>
      </c>
      <c r="E424" s="24" t="s">
        <v>919</v>
      </c>
      <c r="F424" s="20" t="s">
        <v>920</v>
      </c>
      <c r="G424" s="20" t="s">
        <v>30</v>
      </c>
      <c r="H424" s="20"/>
      <c r="I424" s="4">
        <v>75000</v>
      </c>
      <c r="J424" s="4">
        <v>0</v>
      </c>
      <c r="K424" s="12" t="s">
        <v>71</v>
      </c>
      <c r="L424">
        <f t="shared" si="31"/>
        <v>3</v>
      </c>
      <c r="M424">
        <f t="shared" ca="1" si="34"/>
        <v>521</v>
      </c>
      <c r="N424" s="15">
        <f t="shared" si="32"/>
        <v>75000</v>
      </c>
      <c r="O424" t="str">
        <f t="shared" ca="1" si="33"/>
        <v>90+ Days</v>
      </c>
    </row>
    <row r="425" spans="1:15" x14ac:dyDescent="0.3">
      <c r="A425" s="6" t="s">
        <v>921</v>
      </c>
      <c r="B425" s="7" t="s">
        <v>494</v>
      </c>
      <c r="C425" s="6" t="s">
        <v>12</v>
      </c>
      <c r="D425" s="2" t="str">
        <f t="shared" si="30"/>
        <v>Dec</v>
      </c>
      <c r="E425" s="25" t="s">
        <v>282</v>
      </c>
      <c r="F425" s="21" t="s">
        <v>286</v>
      </c>
      <c r="G425" s="21" t="s">
        <v>287</v>
      </c>
      <c r="H425" s="21" t="s">
        <v>922</v>
      </c>
      <c r="I425" s="8">
        <v>25000</v>
      </c>
      <c r="J425" s="8">
        <v>25000</v>
      </c>
      <c r="K425" s="9" t="s">
        <v>45</v>
      </c>
      <c r="L425">
        <f t="shared" si="31"/>
        <v>1</v>
      </c>
      <c r="M425">
        <f t="shared" ca="1" si="34"/>
        <v>51</v>
      </c>
      <c r="N425" s="15">
        <f t="shared" si="32"/>
        <v>0</v>
      </c>
      <c r="O425" t="str">
        <f t="shared" ca="1" si="33"/>
        <v>31-60 Days</v>
      </c>
    </row>
    <row r="426" spans="1:15" x14ac:dyDescent="0.3">
      <c r="A426" s="2" t="s">
        <v>923</v>
      </c>
      <c r="B426" s="3" t="s">
        <v>108</v>
      </c>
      <c r="C426" s="2" t="s">
        <v>12</v>
      </c>
      <c r="D426" s="2" t="str">
        <f t="shared" si="30"/>
        <v>Aug</v>
      </c>
      <c r="E426" s="24" t="s">
        <v>70</v>
      </c>
      <c r="F426" s="20" t="s">
        <v>87</v>
      </c>
      <c r="G426" s="20" t="s">
        <v>484</v>
      </c>
      <c r="H426" s="20" t="s">
        <v>670</v>
      </c>
      <c r="I426" s="4">
        <v>75000</v>
      </c>
      <c r="J426" s="4">
        <v>75000</v>
      </c>
      <c r="K426" s="5" t="s">
        <v>17</v>
      </c>
      <c r="L426">
        <f t="shared" si="31"/>
        <v>3</v>
      </c>
      <c r="M426">
        <f t="shared" ca="1" si="34"/>
        <v>26</v>
      </c>
      <c r="N426" s="15">
        <f t="shared" si="32"/>
        <v>0</v>
      </c>
      <c r="O426" t="str">
        <f t="shared" ca="1" si="33"/>
        <v>0-30 Days</v>
      </c>
    </row>
    <row r="427" spans="1:15" x14ac:dyDescent="0.3">
      <c r="A427" s="6" t="s">
        <v>924</v>
      </c>
      <c r="B427" s="7" t="s">
        <v>53</v>
      </c>
      <c r="C427" s="6" t="s">
        <v>40</v>
      </c>
      <c r="D427" s="2" t="str">
        <f t="shared" si="30"/>
        <v>Apr</v>
      </c>
      <c r="E427" s="25" t="s">
        <v>162</v>
      </c>
      <c r="F427" s="21" t="s">
        <v>238</v>
      </c>
      <c r="G427" s="21" t="s">
        <v>239</v>
      </c>
      <c r="H427" s="21" t="s">
        <v>890</v>
      </c>
      <c r="I427" s="8">
        <v>35000</v>
      </c>
      <c r="J427" s="8">
        <v>35000</v>
      </c>
      <c r="K427" s="5" t="s">
        <v>17</v>
      </c>
      <c r="L427">
        <f t="shared" si="31"/>
        <v>1</v>
      </c>
      <c r="M427">
        <f t="shared" ca="1" si="34"/>
        <v>12</v>
      </c>
      <c r="N427" s="15">
        <f t="shared" si="32"/>
        <v>0</v>
      </c>
      <c r="O427" t="str">
        <f t="shared" ca="1" si="33"/>
        <v>0-30 Days</v>
      </c>
    </row>
    <row r="428" spans="1:15" x14ac:dyDescent="0.3">
      <c r="A428" s="2" t="s">
        <v>925</v>
      </c>
      <c r="B428" s="3" t="s">
        <v>572</v>
      </c>
      <c r="C428" s="2" t="s">
        <v>26</v>
      </c>
      <c r="D428" s="2" t="str">
        <f t="shared" si="30"/>
        <v>May</v>
      </c>
      <c r="E428" s="24" t="s">
        <v>468</v>
      </c>
      <c r="F428" s="20" t="s">
        <v>187</v>
      </c>
      <c r="G428" s="20" t="s">
        <v>397</v>
      </c>
      <c r="H428" s="20" t="s">
        <v>210</v>
      </c>
      <c r="I428" s="4">
        <v>40000</v>
      </c>
      <c r="J428" s="4">
        <v>40000</v>
      </c>
      <c r="K428" s="5" t="s">
        <v>17</v>
      </c>
      <c r="L428">
        <f t="shared" si="31"/>
        <v>2</v>
      </c>
      <c r="M428">
        <f t="shared" ca="1" si="34"/>
        <v>13</v>
      </c>
      <c r="N428" s="15">
        <f t="shared" si="32"/>
        <v>0</v>
      </c>
      <c r="O428" t="str">
        <f t="shared" ca="1" si="33"/>
        <v>0-30 Days</v>
      </c>
    </row>
    <row r="429" spans="1:15" x14ac:dyDescent="0.3">
      <c r="A429" s="6" t="s">
        <v>926</v>
      </c>
      <c r="B429" s="7" t="s">
        <v>339</v>
      </c>
      <c r="C429" s="6" t="s">
        <v>12</v>
      </c>
      <c r="D429" s="2" t="str">
        <f t="shared" si="30"/>
        <v>Jun</v>
      </c>
      <c r="E429" s="25" t="s">
        <v>792</v>
      </c>
      <c r="F429" s="21" t="s">
        <v>154</v>
      </c>
      <c r="G429" s="21" t="s">
        <v>348</v>
      </c>
      <c r="H429" s="21" t="s">
        <v>43</v>
      </c>
      <c r="I429" s="8">
        <v>5000</v>
      </c>
      <c r="J429" s="8">
        <v>5000</v>
      </c>
      <c r="K429" s="5" t="s">
        <v>17</v>
      </c>
      <c r="L429">
        <f t="shared" si="31"/>
        <v>3</v>
      </c>
      <c r="M429">
        <f t="shared" ca="1" si="34"/>
        <v>16</v>
      </c>
      <c r="N429" s="15">
        <f t="shared" si="32"/>
        <v>0</v>
      </c>
      <c r="O429" t="str">
        <f t="shared" ca="1" si="33"/>
        <v>0-30 Days</v>
      </c>
    </row>
    <row r="430" spans="1:15" x14ac:dyDescent="0.3">
      <c r="A430" s="2" t="s">
        <v>927</v>
      </c>
      <c r="B430" s="3" t="s">
        <v>434</v>
      </c>
      <c r="C430" s="2" t="s">
        <v>12</v>
      </c>
      <c r="D430" s="2" t="str">
        <f t="shared" si="30"/>
        <v>May</v>
      </c>
      <c r="E430" s="24" t="s">
        <v>577</v>
      </c>
      <c r="F430" s="20" t="s">
        <v>564</v>
      </c>
      <c r="G430" s="20" t="s">
        <v>507</v>
      </c>
      <c r="H430" s="20" t="s">
        <v>367</v>
      </c>
      <c r="I430" s="4">
        <v>15000</v>
      </c>
      <c r="J430" s="4">
        <v>15000</v>
      </c>
      <c r="K430" s="5" t="s">
        <v>17</v>
      </c>
      <c r="L430">
        <f t="shared" si="31"/>
        <v>1</v>
      </c>
      <c r="M430">
        <f t="shared" ca="1" si="34"/>
        <v>10</v>
      </c>
      <c r="N430" s="15">
        <f t="shared" si="32"/>
        <v>0</v>
      </c>
      <c r="O430" t="str">
        <f t="shared" ca="1" si="33"/>
        <v>0-30 Days</v>
      </c>
    </row>
    <row r="431" spans="1:15" x14ac:dyDescent="0.3">
      <c r="A431" s="6" t="s">
        <v>928</v>
      </c>
      <c r="B431" s="7" t="s">
        <v>108</v>
      </c>
      <c r="C431" s="6" t="s">
        <v>12</v>
      </c>
      <c r="D431" s="2" t="str">
        <f t="shared" si="30"/>
        <v>Dec</v>
      </c>
      <c r="E431" s="25" t="s">
        <v>146</v>
      </c>
      <c r="F431" s="21" t="s">
        <v>190</v>
      </c>
      <c r="G431" s="21" t="s">
        <v>191</v>
      </c>
      <c r="H431" s="21" t="s">
        <v>929</v>
      </c>
      <c r="I431" s="8">
        <v>60000</v>
      </c>
      <c r="J431" s="8">
        <v>60000</v>
      </c>
      <c r="K431" s="9" t="s">
        <v>45</v>
      </c>
      <c r="L431">
        <f t="shared" si="31"/>
        <v>3</v>
      </c>
      <c r="M431">
        <f t="shared" ca="1" si="34"/>
        <v>51</v>
      </c>
      <c r="N431" s="15">
        <f t="shared" si="32"/>
        <v>0</v>
      </c>
      <c r="O431" t="str">
        <f t="shared" ca="1" si="33"/>
        <v>31-60 Days</v>
      </c>
    </row>
    <row r="432" spans="1:15" x14ac:dyDescent="0.3">
      <c r="A432" s="2" t="s">
        <v>930</v>
      </c>
      <c r="B432" s="3" t="s">
        <v>378</v>
      </c>
      <c r="C432" s="2" t="s">
        <v>12</v>
      </c>
      <c r="D432" s="2" t="str">
        <f t="shared" si="30"/>
        <v>Jul</v>
      </c>
      <c r="E432" s="24" t="s">
        <v>69</v>
      </c>
      <c r="F432" s="20" t="s">
        <v>86</v>
      </c>
      <c r="G432" s="20" t="s">
        <v>87</v>
      </c>
      <c r="H432" s="20" t="s">
        <v>351</v>
      </c>
      <c r="I432" s="4">
        <v>40000</v>
      </c>
      <c r="J432" s="4">
        <v>40000</v>
      </c>
      <c r="K432" s="5" t="s">
        <v>17</v>
      </c>
      <c r="L432">
        <f t="shared" si="31"/>
        <v>3</v>
      </c>
      <c r="M432">
        <f t="shared" ca="1" si="34"/>
        <v>9</v>
      </c>
      <c r="N432" s="15">
        <f t="shared" si="32"/>
        <v>0</v>
      </c>
      <c r="O432" t="str">
        <f t="shared" ca="1" si="33"/>
        <v>0-30 Days</v>
      </c>
    </row>
    <row r="433" spans="1:15" x14ac:dyDescent="0.3">
      <c r="A433" s="6" t="s">
        <v>931</v>
      </c>
      <c r="B433" s="7" t="s">
        <v>527</v>
      </c>
      <c r="C433" s="6" t="s">
        <v>12</v>
      </c>
      <c r="D433" s="2" t="str">
        <f t="shared" si="30"/>
        <v>Mar</v>
      </c>
      <c r="E433" s="25" t="s">
        <v>249</v>
      </c>
      <c r="F433" s="21" t="s">
        <v>49</v>
      </c>
      <c r="G433" s="21" t="s">
        <v>50</v>
      </c>
      <c r="H433" s="21" t="s">
        <v>240</v>
      </c>
      <c r="I433" s="8">
        <v>100000</v>
      </c>
      <c r="J433" s="8">
        <v>100000</v>
      </c>
      <c r="K433" s="5" t="s">
        <v>17</v>
      </c>
      <c r="L433">
        <f t="shared" si="31"/>
        <v>2</v>
      </c>
      <c r="M433">
        <f t="shared" ca="1" si="34"/>
        <v>22</v>
      </c>
      <c r="N433" s="15">
        <f t="shared" si="32"/>
        <v>0</v>
      </c>
      <c r="O433" t="str">
        <f t="shared" ca="1" si="33"/>
        <v>0-30 Days</v>
      </c>
    </row>
    <row r="434" spans="1:15" x14ac:dyDescent="0.3">
      <c r="A434" s="2" t="s">
        <v>932</v>
      </c>
      <c r="B434" s="3" t="s">
        <v>461</v>
      </c>
      <c r="C434" s="2" t="s">
        <v>12</v>
      </c>
      <c r="D434" s="2" t="str">
        <f t="shared" si="30"/>
        <v>Oct</v>
      </c>
      <c r="E434" s="24" t="s">
        <v>597</v>
      </c>
      <c r="F434" s="20" t="s">
        <v>647</v>
      </c>
      <c r="G434" s="20" t="s">
        <v>447</v>
      </c>
      <c r="H434" s="20"/>
      <c r="I434" s="4">
        <v>30000</v>
      </c>
      <c r="J434" s="4">
        <v>0</v>
      </c>
      <c r="K434" s="12" t="s">
        <v>71</v>
      </c>
      <c r="L434">
        <f t="shared" si="31"/>
        <v>3</v>
      </c>
      <c r="M434">
        <f t="shared" ca="1" si="34"/>
        <v>253</v>
      </c>
      <c r="N434" s="15">
        <f t="shared" si="32"/>
        <v>30000</v>
      </c>
      <c r="O434" t="str">
        <f t="shared" ca="1" si="33"/>
        <v>90+ Days</v>
      </c>
    </row>
    <row r="435" spans="1:15" x14ac:dyDescent="0.3">
      <c r="A435" s="6" t="s">
        <v>933</v>
      </c>
      <c r="B435" s="7" t="s">
        <v>90</v>
      </c>
      <c r="C435" s="6" t="s">
        <v>12</v>
      </c>
      <c r="D435" s="2" t="str">
        <f t="shared" si="30"/>
        <v>Nov</v>
      </c>
      <c r="E435" s="25" t="s">
        <v>140</v>
      </c>
      <c r="F435" s="21" t="s">
        <v>557</v>
      </c>
      <c r="G435" s="21" t="s">
        <v>363</v>
      </c>
      <c r="H435" s="21" t="s">
        <v>465</v>
      </c>
      <c r="I435" s="8">
        <v>45000</v>
      </c>
      <c r="J435" s="8">
        <v>45000</v>
      </c>
      <c r="K435" s="5" t="s">
        <v>17</v>
      </c>
      <c r="L435">
        <f t="shared" si="31"/>
        <v>1</v>
      </c>
      <c r="M435">
        <f t="shared" ca="1" si="34"/>
        <v>27</v>
      </c>
      <c r="N435" s="15">
        <f t="shared" si="32"/>
        <v>0</v>
      </c>
      <c r="O435" t="str">
        <f t="shared" ca="1" si="33"/>
        <v>0-30 Days</v>
      </c>
    </row>
    <row r="436" spans="1:15" x14ac:dyDescent="0.3">
      <c r="A436" s="2" t="s">
        <v>934</v>
      </c>
      <c r="B436" s="3" t="s">
        <v>176</v>
      </c>
      <c r="C436" s="2" t="s">
        <v>12</v>
      </c>
      <c r="D436" s="2" t="str">
        <f t="shared" si="30"/>
        <v>Feb</v>
      </c>
      <c r="E436" s="24" t="s">
        <v>429</v>
      </c>
      <c r="F436" s="20" t="s">
        <v>318</v>
      </c>
      <c r="G436" s="20" t="s">
        <v>202</v>
      </c>
      <c r="H436" s="20" t="s">
        <v>201</v>
      </c>
      <c r="I436" s="4">
        <v>15000</v>
      </c>
      <c r="J436" s="4">
        <v>15000</v>
      </c>
      <c r="K436" s="5" t="s">
        <v>17</v>
      </c>
      <c r="L436">
        <f t="shared" si="31"/>
        <v>3</v>
      </c>
      <c r="M436">
        <f t="shared" ca="1" si="34"/>
        <v>22</v>
      </c>
      <c r="N436" s="15">
        <f t="shared" si="32"/>
        <v>0</v>
      </c>
      <c r="O436" t="str">
        <f t="shared" ca="1" si="33"/>
        <v>0-30 Days</v>
      </c>
    </row>
    <row r="437" spans="1:15" x14ac:dyDescent="0.3">
      <c r="A437" s="6" t="s">
        <v>935</v>
      </c>
      <c r="B437" s="7" t="s">
        <v>293</v>
      </c>
      <c r="C437" s="6" t="s">
        <v>12</v>
      </c>
      <c r="D437" s="2" t="str">
        <f t="shared" si="30"/>
        <v>Apr</v>
      </c>
      <c r="E437" s="25" t="s">
        <v>467</v>
      </c>
      <c r="F437" s="21" t="s">
        <v>538</v>
      </c>
      <c r="G437" s="21" t="s">
        <v>151</v>
      </c>
      <c r="H437" s="21" t="s">
        <v>564</v>
      </c>
      <c r="I437" s="8">
        <v>55000</v>
      </c>
      <c r="J437" s="8">
        <v>55000</v>
      </c>
      <c r="K437" s="5" t="s">
        <v>17</v>
      </c>
      <c r="L437">
        <f t="shared" si="31"/>
        <v>3</v>
      </c>
      <c r="M437">
        <f t="shared" ca="1" si="34"/>
        <v>15</v>
      </c>
      <c r="N437" s="15">
        <f t="shared" si="32"/>
        <v>0</v>
      </c>
      <c r="O437" t="str">
        <f t="shared" ca="1" si="33"/>
        <v>0-30 Days</v>
      </c>
    </row>
    <row r="438" spans="1:15" x14ac:dyDescent="0.3">
      <c r="A438" s="2" t="s">
        <v>936</v>
      </c>
      <c r="B438" s="3" t="s">
        <v>487</v>
      </c>
      <c r="C438" s="2" t="s">
        <v>33</v>
      </c>
      <c r="D438" s="2" t="str">
        <f t="shared" si="30"/>
        <v>Aug</v>
      </c>
      <c r="E438" s="24" t="s">
        <v>320</v>
      </c>
      <c r="F438" s="20" t="s">
        <v>555</v>
      </c>
      <c r="G438" s="20" t="s">
        <v>117</v>
      </c>
      <c r="H438" s="20"/>
      <c r="I438" s="4">
        <v>30000</v>
      </c>
      <c r="J438" s="4">
        <v>0</v>
      </c>
      <c r="K438" s="12" t="s">
        <v>71</v>
      </c>
      <c r="L438">
        <f t="shared" si="31"/>
        <v>1</v>
      </c>
      <c r="M438">
        <f t="shared" ca="1" si="34"/>
        <v>304</v>
      </c>
      <c r="N438" s="15">
        <f t="shared" si="32"/>
        <v>30000</v>
      </c>
      <c r="O438" t="str">
        <f t="shared" ca="1" si="33"/>
        <v>90+ Days</v>
      </c>
    </row>
    <row r="439" spans="1:15" x14ac:dyDescent="0.3">
      <c r="A439" s="6" t="s">
        <v>937</v>
      </c>
      <c r="B439" s="7" t="s">
        <v>449</v>
      </c>
      <c r="C439" s="6" t="s">
        <v>12</v>
      </c>
      <c r="D439" s="2" t="str">
        <f t="shared" si="30"/>
        <v>Feb</v>
      </c>
      <c r="E439" s="25" t="s">
        <v>29</v>
      </c>
      <c r="F439" s="21" t="s">
        <v>265</v>
      </c>
      <c r="G439" s="21" t="s">
        <v>48</v>
      </c>
      <c r="H439" s="21"/>
      <c r="I439" s="8">
        <v>22000</v>
      </c>
      <c r="J439" s="8">
        <v>0</v>
      </c>
      <c r="K439" s="10" t="s">
        <v>57</v>
      </c>
      <c r="L439">
        <f t="shared" si="31"/>
        <v>3</v>
      </c>
      <c r="M439">
        <f t="shared" ca="1" si="34"/>
        <v>482</v>
      </c>
      <c r="N439" s="15">
        <f t="shared" si="32"/>
        <v>22000</v>
      </c>
      <c r="O439" t="str">
        <f t="shared" ca="1" si="33"/>
        <v>90+ Days</v>
      </c>
    </row>
    <row r="440" spans="1:15" x14ac:dyDescent="0.3">
      <c r="A440" s="2" t="s">
        <v>938</v>
      </c>
      <c r="B440" s="3" t="s">
        <v>716</v>
      </c>
      <c r="C440" s="2" t="s">
        <v>12</v>
      </c>
      <c r="D440" s="2" t="str">
        <f t="shared" si="30"/>
        <v>Mar</v>
      </c>
      <c r="E440" s="24" t="s">
        <v>16</v>
      </c>
      <c r="F440" s="20" t="s">
        <v>217</v>
      </c>
      <c r="G440" s="20" t="s">
        <v>218</v>
      </c>
      <c r="H440" s="20" t="s">
        <v>181</v>
      </c>
      <c r="I440" s="4">
        <v>18000</v>
      </c>
      <c r="J440" s="4">
        <v>18000</v>
      </c>
      <c r="K440" s="5" t="s">
        <v>17</v>
      </c>
      <c r="L440">
        <f t="shared" si="31"/>
        <v>3</v>
      </c>
      <c r="M440">
        <f t="shared" ca="1" si="34"/>
        <v>6</v>
      </c>
      <c r="N440" s="15">
        <f t="shared" si="32"/>
        <v>0</v>
      </c>
      <c r="O440" t="str">
        <f t="shared" ca="1" si="33"/>
        <v>0-30 Days</v>
      </c>
    </row>
    <row r="441" spans="1:15" x14ac:dyDescent="0.3">
      <c r="A441" s="6" t="s">
        <v>939</v>
      </c>
      <c r="B441" s="7" t="s">
        <v>660</v>
      </c>
      <c r="C441" s="6" t="s">
        <v>12</v>
      </c>
      <c r="D441" s="2" t="str">
        <f t="shared" si="30"/>
        <v>Aug</v>
      </c>
      <c r="E441" s="25" t="s">
        <v>96</v>
      </c>
      <c r="F441" s="21" t="s">
        <v>585</v>
      </c>
      <c r="G441" s="21" t="s">
        <v>737</v>
      </c>
      <c r="H441" s="21"/>
      <c r="I441" s="8">
        <v>60000</v>
      </c>
      <c r="J441" s="8">
        <v>0</v>
      </c>
      <c r="K441" s="12" t="s">
        <v>71</v>
      </c>
      <c r="L441">
        <f t="shared" si="31"/>
        <v>3</v>
      </c>
      <c r="M441">
        <f t="shared" ca="1" si="34"/>
        <v>292</v>
      </c>
      <c r="N441" s="15">
        <f t="shared" si="32"/>
        <v>60000</v>
      </c>
      <c r="O441" t="str">
        <f t="shared" ca="1" si="33"/>
        <v>90+ Days</v>
      </c>
    </row>
    <row r="442" spans="1:15" x14ac:dyDescent="0.3">
      <c r="A442" s="2" t="s">
        <v>940</v>
      </c>
      <c r="B442" s="3" t="s">
        <v>876</v>
      </c>
      <c r="C442" s="2" t="s">
        <v>12</v>
      </c>
      <c r="D442" s="2" t="str">
        <f t="shared" si="30"/>
        <v>May</v>
      </c>
      <c r="E442" s="24" t="s">
        <v>366</v>
      </c>
      <c r="F442" s="20" t="s">
        <v>367</v>
      </c>
      <c r="G442" s="20" t="s">
        <v>368</v>
      </c>
      <c r="H442" s="20" t="s">
        <v>112</v>
      </c>
      <c r="I442" s="4">
        <v>30000</v>
      </c>
      <c r="J442" s="4">
        <v>30000</v>
      </c>
      <c r="K442" s="9" t="s">
        <v>45</v>
      </c>
      <c r="L442">
        <f t="shared" si="31"/>
        <v>1</v>
      </c>
      <c r="M442">
        <f t="shared" ca="1" si="34"/>
        <v>32</v>
      </c>
      <c r="N442" s="15">
        <f t="shared" si="32"/>
        <v>0</v>
      </c>
      <c r="O442" t="str">
        <f t="shared" ca="1" si="33"/>
        <v>31-60 Days</v>
      </c>
    </row>
    <row r="443" spans="1:15" x14ac:dyDescent="0.3">
      <c r="A443" s="6" t="s">
        <v>941</v>
      </c>
      <c r="B443" s="7" t="s">
        <v>124</v>
      </c>
      <c r="C443" s="6" t="s">
        <v>12</v>
      </c>
      <c r="D443" s="2" t="str">
        <f t="shared" si="30"/>
        <v>Jun</v>
      </c>
      <c r="E443" s="25" t="s">
        <v>311</v>
      </c>
      <c r="F443" s="21" t="s">
        <v>353</v>
      </c>
      <c r="G443" s="21" t="s">
        <v>584</v>
      </c>
      <c r="H443" s="21" t="s">
        <v>55</v>
      </c>
      <c r="I443" s="8">
        <v>10000</v>
      </c>
      <c r="J443" s="8">
        <v>10000</v>
      </c>
      <c r="K443" s="5" t="s">
        <v>17</v>
      </c>
      <c r="L443">
        <f t="shared" si="31"/>
        <v>3</v>
      </c>
      <c r="M443">
        <f t="shared" ca="1" si="34"/>
        <v>6</v>
      </c>
      <c r="N443" s="15">
        <f t="shared" si="32"/>
        <v>0</v>
      </c>
      <c r="O443" t="str">
        <f t="shared" ca="1" si="33"/>
        <v>0-30 Days</v>
      </c>
    </row>
    <row r="444" spans="1:15" x14ac:dyDescent="0.3">
      <c r="A444" s="2" t="s">
        <v>942</v>
      </c>
      <c r="B444" s="3" t="s">
        <v>268</v>
      </c>
      <c r="C444" s="2" t="s">
        <v>33</v>
      </c>
      <c r="D444" s="2" t="str">
        <f t="shared" si="30"/>
        <v>Aug</v>
      </c>
      <c r="E444" s="24" t="s">
        <v>908</v>
      </c>
      <c r="F444" s="20" t="s">
        <v>228</v>
      </c>
      <c r="G444" s="20" t="s">
        <v>172</v>
      </c>
      <c r="H444" s="20" t="s">
        <v>484</v>
      </c>
      <c r="I444" s="4">
        <v>60000</v>
      </c>
      <c r="J444" s="4">
        <v>60000</v>
      </c>
      <c r="K444" s="5" t="s">
        <v>17</v>
      </c>
      <c r="L444">
        <f t="shared" si="31"/>
        <v>1</v>
      </c>
      <c r="M444">
        <f t="shared" ca="1" si="34"/>
        <v>9</v>
      </c>
      <c r="N444" s="15">
        <f t="shared" si="32"/>
        <v>0</v>
      </c>
      <c r="O444" t="str">
        <f t="shared" ca="1" si="33"/>
        <v>0-30 Days</v>
      </c>
    </row>
    <row r="445" spans="1:15" x14ac:dyDescent="0.3">
      <c r="A445" s="6" t="s">
        <v>943</v>
      </c>
      <c r="B445" s="7" t="s">
        <v>103</v>
      </c>
      <c r="C445" s="6" t="s">
        <v>12</v>
      </c>
      <c r="D445" s="2" t="str">
        <f t="shared" si="30"/>
        <v>Nov</v>
      </c>
      <c r="E445" s="25" t="s">
        <v>271</v>
      </c>
      <c r="F445" s="21" t="s">
        <v>91</v>
      </c>
      <c r="G445" s="21" t="s">
        <v>544</v>
      </c>
      <c r="H445" s="21" t="s">
        <v>145</v>
      </c>
      <c r="I445" s="8">
        <v>18000</v>
      </c>
      <c r="J445" s="8">
        <v>18000</v>
      </c>
      <c r="K445" s="5" t="s">
        <v>17</v>
      </c>
      <c r="L445">
        <f t="shared" si="31"/>
        <v>3</v>
      </c>
      <c r="M445">
        <f t="shared" ca="1" si="34"/>
        <v>17</v>
      </c>
      <c r="N445" s="15">
        <f t="shared" si="32"/>
        <v>0</v>
      </c>
      <c r="O445" t="str">
        <f t="shared" ca="1" si="33"/>
        <v>0-30 Days</v>
      </c>
    </row>
    <row r="446" spans="1:15" x14ac:dyDescent="0.3">
      <c r="A446" s="2" t="s">
        <v>944</v>
      </c>
      <c r="B446" s="3" t="s">
        <v>420</v>
      </c>
      <c r="C446" s="2" t="s">
        <v>12</v>
      </c>
      <c r="D446" s="2" t="str">
        <f t="shared" si="30"/>
        <v>Jul</v>
      </c>
      <c r="E446" s="24" t="s">
        <v>194</v>
      </c>
      <c r="F446" s="20" t="s">
        <v>344</v>
      </c>
      <c r="G446" s="20" t="s">
        <v>815</v>
      </c>
      <c r="H446" s="20" t="s">
        <v>670</v>
      </c>
      <c r="I446" s="4">
        <v>10000</v>
      </c>
      <c r="J446" s="4">
        <v>10000</v>
      </c>
      <c r="K446" s="9" t="s">
        <v>45</v>
      </c>
      <c r="L446">
        <f t="shared" si="31"/>
        <v>2</v>
      </c>
      <c r="M446">
        <f t="shared" ca="1" si="34"/>
        <v>52</v>
      </c>
      <c r="N446" s="15">
        <f t="shared" si="32"/>
        <v>0</v>
      </c>
      <c r="O446" t="str">
        <f t="shared" ca="1" si="33"/>
        <v>31-60 Days</v>
      </c>
    </row>
    <row r="447" spans="1:15" x14ac:dyDescent="0.3">
      <c r="A447" s="6" t="s">
        <v>945</v>
      </c>
      <c r="B447" s="7" t="s">
        <v>170</v>
      </c>
      <c r="C447" s="6" t="s">
        <v>12</v>
      </c>
      <c r="D447" s="2" t="str">
        <f t="shared" si="30"/>
        <v>Mar</v>
      </c>
      <c r="E447" s="25" t="s">
        <v>250</v>
      </c>
      <c r="F447" s="21" t="s">
        <v>771</v>
      </c>
      <c r="G447" s="21" t="s">
        <v>477</v>
      </c>
      <c r="H447" s="21" t="s">
        <v>237</v>
      </c>
      <c r="I447" s="8">
        <v>100000</v>
      </c>
      <c r="J447" s="8">
        <v>100000</v>
      </c>
      <c r="K447" s="5" t="s">
        <v>17</v>
      </c>
      <c r="L447">
        <f t="shared" si="31"/>
        <v>3</v>
      </c>
      <c r="M447">
        <f t="shared" ca="1" si="34"/>
        <v>22</v>
      </c>
      <c r="N447" s="15">
        <f t="shared" si="32"/>
        <v>0</v>
      </c>
      <c r="O447" t="str">
        <f t="shared" ca="1" si="33"/>
        <v>0-30 Days</v>
      </c>
    </row>
    <row r="448" spans="1:15" x14ac:dyDescent="0.3">
      <c r="A448" s="2" t="s">
        <v>946</v>
      </c>
      <c r="B448" s="3" t="s">
        <v>876</v>
      </c>
      <c r="C448" s="2" t="s">
        <v>12</v>
      </c>
      <c r="D448" s="2" t="str">
        <f t="shared" si="30"/>
        <v>Sep</v>
      </c>
      <c r="E448" s="24" t="s">
        <v>629</v>
      </c>
      <c r="F448" s="20" t="s">
        <v>171</v>
      </c>
      <c r="G448" s="20" t="s">
        <v>215</v>
      </c>
      <c r="H448" s="20"/>
      <c r="I448" s="4">
        <v>40000</v>
      </c>
      <c r="J448" s="4">
        <v>0</v>
      </c>
      <c r="K448" s="10" t="s">
        <v>57</v>
      </c>
      <c r="L448">
        <f t="shared" si="31"/>
        <v>1</v>
      </c>
      <c r="M448">
        <f t="shared" ca="1" si="34"/>
        <v>260</v>
      </c>
      <c r="N448" s="15">
        <f t="shared" si="32"/>
        <v>40000</v>
      </c>
      <c r="O448" t="str">
        <f t="shared" ca="1" si="33"/>
        <v>90+ Days</v>
      </c>
    </row>
    <row r="449" spans="1:15" x14ac:dyDescent="0.3">
      <c r="A449" s="6" t="s">
        <v>947</v>
      </c>
      <c r="B449" s="7" t="s">
        <v>150</v>
      </c>
      <c r="C449" s="6" t="s">
        <v>33</v>
      </c>
      <c r="D449" s="2" t="str">
        <f t="shared" si="30"/>
        <v>Jan</v>
      </c>
      <c r="E449" s="25" t="s">
        <v>637</v>
      </c>
      <c r="F449" s="21" t="s">
        <v>455</v>
      </c>
      <c r="G449" s="21" t="s">
        <v>66</v>
      </c>
      <c r="H449" s="21" t="s">
        <v>470</v>
      </c>
      <c r="I449" s="8">
        <v>22000</v>
      </c>
      <c r="J449" s="8">
        <v>22000</v>
      </c>
      <c r="K449" s="9" t="s">
        <v>45</v>
      </c>
      <c r="L449">
        <f t="shared" si="31"/>
        <v>2</v>
      </c>
      <c r="M449">
        <f t="shared" ca="1" si="34"/>
        <v>48</v>
      </c>
      <c r="N449" s="15">
        <f t="shared" si="32"/>
        <v>0</v>
      </c>
      <c r="O449" t="str">
        <f t="shared" ca="1" si="33"/>
        <v>31-60 Days</v>
      </c>
    </row>
    <row r="450" spans="1:15" x14ac:dyDescent="0.3">
      <c r="A450" s="2" t="s">
        <v>948</v>
      </c>
      <c r="B450" s="3" t="s">
        <v>124</v>
      </c>
      <c r="C450" s="2" t="s">
        <v>12</v>
      </c>
      <c r="D450" s="2" t="str">
        <f t="shared" si="30"/>
        <v>Sep</v>
      </c>
      <c r="E450" s="24" t="s">
        <v>172</v>
      </c>
      <c r="F450" s="20" t="s">
        <v>416</v>
      </c>
      <c r="G450" s="20" t="s">
        <v>269</v>
      </c>
      <c r="H450" s="20" t="s">
        <v>121</v>
      </c>
      <c r="I450" s="4">
        <v>40000</v>
      </c>
      <c r="J450" s="4">
        <v>40000</v>
      </c>
      <c r="K450" s="5" t="s">
        <v>17</v>
      </c>
      <c r="L450">
        <f t="shared" si="31"/>
        <v>2</v>
      </c>
      <c r="M450">
        <f t="shared" ca="1" si="34"/>
        <v>16</v>
      </c>
      <c r="N450" s="15">
        <f t="shared" si="32"/>
        <v>0</v>
      </c>
      <c r="O450" t="str">
        <f t="shared" ca="1" si="33"/>
        <v>0-30 Days</v>
      </c>
    </row>
    <row r="451" spans="1:15" x14ac:dyDescent="0.3">
      <c r="A451" s="6" t="s">
        <v>949</v>
      </c>
      <c r="B451" s="7" t="s">
        <v>135</v>
      </c>
      <c r="C451" s="6" t="s">
        <v>33</v>
      </c>
      <c r="D451" s="2" t="str">
        <f t="shared" ref="D451:D514" si="35">MID(E451, 4, 3)</f>
        <v>May</v>
      </c>
      <c r="E451" s="25" t="s">
        <v>425</v>
      </c>
      <c r="F451" s="21" t="s">
        <v>41</v>
      </c>
      <c r="G451" s="21" t="s">
        <v>879</v>
      </c>
      <c r="H451" s="21" t="s">
        <v>111</v>
      </c>
      <c r="I451" s="8">
        <v>15000</v>
      </c>
      <c r="J451" s="8">
        <v>15000</v>
      </c>
      <c r="K451" s="5" t="s">
        <v>17</v>
      </c>
      <c r="L451">
        <f t="shared" ref="L451:L514" si="36">F451-E451</f>
        <v>1</v>
      </c>
      <c r="M451">
        <f t="shared" ca="1" si="34"/>
        <v>26</v>
      </c>
      <c r="N451" s="15">
        <f t="shared" ref="N451:N514" si="37">I451-J451</f>
        <v>0</v>
      </c>
      <c r="O451" t="str">
        <f t="shared" ref="O451:O514" ca="1" si="38">IF(M451&lt;=30,"0-30 Days",
IF(M451&lt;=60,"31-60 Days",
IF(M451&lt;=90,"61-90 Days","90+ Days")))</f>
        <v>0-30 Days</v>
      </c>
    </row>
    <row r="452" spans="1:15" x14ac:dyDescent="0.3">
      <c r="A452" s="2" t="s">
        <v>950</v>
      </c>
      <c r="B452" s="3" t="s">
        <v>482</v>
      </c>
      <c r="C452" s="2" t="s">
        <v>26</v>
      </c>
      <c r="D452" s="2" t="str">
        <f t="shared" si="35"/>
        <v>Nov</v>
      </c>
      <c r="E452" s="24" t="s">
        <v>278</v>
      </c>
      <c r="F452" s="20" t="s">
        <v>495</v>
      </c>
      <c r="G452" s="20" t="s">
        <v>282</v>
      </c>
      <c r="H452" s="20" t="s">
        <v>547</v>
      </c>
      <c r="I452" s="4">
        <v>40000</v>
      </c>
      <c r="J452" s="4">
        <v>40000</v>
      </c>
      <c r="K452" s="5" t="s">
        <v>17</v>
      </c>
      <c r="L452">
        <f t="shared" si="36"/>
        <v>1</v>
      </c>
      <c r="M452">
        <f t="shared" ref="M452:M515" ca="1" si="39">IF(H452="",TODAY()-F452,H452-F452)</f>
        <v>8</v>
      </c>
      <c r="N452" s="15">
        <f t="shared" si="37"/>
        <v>0</v>
      </c>
      <c r="O452" t="str">
        <f t="shared" ca="1" si="38"/>
        <v>0-30 Days</v>
      </c>
    </row>
    <row r="453" spans="1:15" x14ac:dyDescent="0.3">
      <c r="A453" s="6" t="s">
        <v>951</v>
      </c>
      <c r="B453" s="7" t="s">
        <v>593</v>
      </c>
      <c r="C453" s="6" t="s">
        <v>12</v>
      </c>
      <c r="D453" s="2" t="str">
        <f t="shared" si="35"/>
        <v>Jan</v>
      </c>
      <c r="E453" s="25" t="s">
        <v>952</v>
      </c>
      <c r="F453" s="21" t="s">
        <v>953</v>
      </c>
      <c r="G453" s="21" t="s">
        <v>265</v>
      </c>
      <c r="H453" s="21" t="s">
        <v>264</v>
      </c>
      <c r="I453" s="8">
        <v>8000</v>
      </c>
      <c r="J453" s="8">
        <v>8000</v>
      </c>
      <c r="K453" s="5" t="s">
        <v>17</v>
      </c>
      <c r="L453">
        <f t="shared" si="36"/>
        <v>2</v>
      </c>
      <c r="M453">
        <f t="shared" ca="1" si="39"/>
        <v>6</v>
      </c>
      <c r="N453" s="15">
        <f t="shared" si="37"/>
        <v>0</v>
      </c>
      <c r="O453" t="str">
        <f t="shared" ca="1" si="38"/>
        <v>0-30 Days</v>
      </c>
    </row>
    <row r="454" spans="1:15" x14ac:dyDescent="0.3">
      <c r="A454" s="2" t="s">
        <v>954</v>
      </c>
      <c r="B454" s="3" t="s">
        <v>108</v>
      </c>
      <c r="C454" s="2" t="s">
        <v>12</v>
      </c>
      <c r="D454" s="2" t="str">
        <f t="shared" si="35"/>
        <v>Aug</v>
      </c>
      <c r="E454" s="24" t="s">
        <v>730</v>
      </c>
      <c r="F454" s="20" t="s">
        <v>815</v>
      </c>
      <c r="G454" s="20" t="s">
        <v>116</v>
      </c>
      <c r="H454" s="20" t="s">
        <v>445</v>
      </c>
      <c r="I454" s="4">
        <v>55000</v>
      </c>
      <c r="J454" s="4">
        <v>55000</v>
      </c>
      <c r="K454" s="5" t="s">
        <v>17</v>
      </c>
      <c r="L454">
        <f t="shared" si="36"/>
        <v>1</v>
      </c>
      <c r="M454">
        <f t="shared" ca="1" si="39"/>
        <v>6</v>
      </c>
      <c r="N454" s="15">
        <f t="shared" si="37"/>
        <v>0</v>
      </c>
      <c r="O454" t="str">
        <f t="shared" ca="1" si="38"/>
        <v>0-30 Days</v>
      </c>
    </row>
    <row r="455" spans="1:15" x14ac:dyDescent="0.3">
      <c r="A455" s="6" t="s">
        <v>955</v>
      </c>
      <c r="B455" s="7" t="s">
        <v>457</v>
      </c>
      <c r="C455" s="6" t="s">
        <v>40</v>
      </c>
      <c r="D455" s="2" t="str">
        <f t="shared" si="35"/>
        <v>Sep</v>
      </c>
      <c r="E455" s="25" t="s">
        <v>117</v>
      </c>
      <c r="F455" s="21" t="s">
        <v>322</v>
      </c>
      <c r="G455" s="21" t="s">
        <v>623</v>
      </c>
      <c r="H455" s="21"/>
      <c r="I455" s="8">
        <v>40000</v>
      </c>
      <c r="J455" s="8">
        <v>0</v>
      </c>
      <c r="K455" s="10" t="s">
        <v>57</v>
      </c>
      <c r="L455">
        <f t="shared" si="36"/>
        <v>2</v>
      </c>
      <c r="M455">
        <f t="shared" ca="1" si="39"/>
        <v>272</v>
      </c>
      <c r="N455" s="15">
        <f t="shared" si="37"/>
        <v>40000</v>
      </c>
      <c r="O455" t="str">
        <f t="shared" ca="1" si="38"/>
        <v>90+ Days</v>
      </c>
    </row>
    <row r="456" spans="1:15" x14ac:dyDescent="0.3">
      <c r="A456" s="2" t="s">
        <v>956</v>
      </c>
      <c r="B456" s="3" t="s">
        <v>59</v>
      </c>
      <c r="C456" s="2" t="s">
        <v>12</v>
      </c>
      <c r="D456" s="2" t="str">
        <f t="shared" si="35"/>
        <v>Oct</v>
      </c>
      <c r="E456" s="24" t="s">
        <v>214</v>
      </c>
      <c r="F456" s="20" t="s">
        <v>273</v>
      </c>
      <c r="G456" s="20" t="s">
        <v>441</v>
      </c>
      <c r="H456" s="20" t="s">
        <v>140</v>
      </c>
      <c r="I456" s="4">
        <v>75000</v>
      </c>
      <c r="J456" s="4">
        <v>75000</v>
      </c>
      <c r="K456" s="5" t="s">
        <v>17</v>
      </c>
      <c r="L456">
        <f t="shared" si="36"/>
        <v>2</v>
      </c>
      <c r="M456">
        <f t="shared" ca="1" si="39"/>
        <v>9</v>
      </c>
      <c r="N456" s="15">
        <f t="shared" si="37"/>
        <v>0</v>
      </c>
      <c r="O456" t="str">
        <f t="shared" ca="1" si="38"/>
        <v>0-30 Days</v>
      </c>
    </row>
    <row r="457" spans="1:15" x14ac:dyDescent="0.3">
      <c r="A457" s="6" t="s">
        <v>957</v>
      </c>
      <c r="B457" s="7" t="s">
        <v>277</v>
      </c>
      <c r="C457" s="6" t="s">
        <v>12</v>
      </c>
      <c r="D457" s="2" t="str">
        <f t="shared" si="35"/>
        <v>Sep</v>
      </c>
      <c r="E457" s="25" t="s">
        <v>118</v>
      </c>
      <c r="F457" s="21" t="s">
        <v>290</v>
      </c>
      <c r="G457" s="21" t="s">
        <v>327</v>
      </c>
      <c r="H457" s="21" t="s">
        <v>183</v>
      </c>
      <c r="I457" s="8">
        <v>18000</v>
      </c>
      <c r="J457" s="8">
        <v>18000</v>
      </c>
      <c r="K457" s="5" t="s">
        <v>17</v>
      </c>
      <c r="L457">
        <f t="shared" si="36"/>
        <v>1</v>
      </c>
      <c r="M457">
        <f t="shared" ca="1" si="39"/>
        <v>6</v>
      </c>
      <c r="N457" s="15">
        <f t="shared" si="37"/>
        <v>0</v>
      </c>
      <c r="O457" t="str">
        <f t="shared" ca="1" si="38"/>
        <v>0-30 Days</v>
      </c>
    </row>
    <row r="458" spans="1:15" x14ac:dyDescent="0.3">
      <c r="A458" s="2" t="s">
        <v>958</v>
      </c>
      <c r="B458" s="3" t="s">
        <v>660</v>
      </c>
      <c r="C458" s="2" t="s">
        <v>12</v>
      </c>
      <c r="D458" s="2" t="str">
        <f t="shared" si="35"/>
        <v>Oct</v>
      </c>
      <c r="E458" s="24" t="s">
        <v>173</v>
      </c>
      <c r="F458" s="20" t="s">
        <v>140</v>
      </c>
      <c r="G458" s="20" t="s">
        <v>270</v>
      </c>
      <c r="H458" s="20" t="s">
        <v>409</v>
      </c>
      <c r="I458" s="4">
        <v>25000</v>
      </c>
      <c r="J458" s="4">
        <v>25000</v>
      </c>
      <c r="K458" s="9" t="s">
        <v>45</v>
      </c>
      <c r="L458">
        <f t="shared" si="36"/>
        <v>3</v>
      </c>
      <c r="M458">
        <f t="shared" ca="1" si="39"/>
        <v>44</v>
      </c>
      <c r="N458" s="15">
        <f t="shared" si="37"/>
        <v>0</v>
      </c>
      <c r="O458" t="str">
        <f t="shared" ca="1" si="38"/>
        <v>31-60 Days</v>
      </c>
    </row>
    <row r="459" spans="1:15" x14ac:dyDescent="0.3">
      <c r="A459" s="6" t="s">
        <v>959</v>
      </c>
      <c r="B459" s="7" t="s">
        <v>660</v>
      </c>
      <c r="C459" s="6" t="s">
        <v>12</v>
      </c>
      <c r="D459" s="2" t="str">
        <f t="shared" si="35"/>
        <v>Sep</v>
      </c>
      <c r="E459" s="25" t="s">
        <v>132</v>
      </c>
      <c r="F459" s="21" t="s">
        <v>667</v>
      </c>
      <c r="G459" s="21" t="s">
        <v>259</v>
      </c>
      <c r="H459" s="21"/>
      <c r="I459" s="8">
        <v>100000</v>
      </c>
      <c r="J459" s="8">
        <v>0</v>
      </c>
      <c r="K459" s="11" t="s">
        <v>63</v>
      </c>
      <c r="L459">
        <f t="shared" si="36"/>
        <v>1</v>
      </c>
      <c r="M459">
        <f t="shared" ca="1" si="39"/>
        <v>277</v>
      </c>
      <c r="N459" s="15">
        <f t="shared" si="37"/>
        <v>100000</v>
      </c>
      <c r="O459" t="str">
        <f t="shared" ca="1" si="38"/>
        <v>90+ Days</v>
      </c>
    </row>
    <row r="460" spans="1:15" x14ac:dyDescent="0.3">
      <c r="A460" s="2" t="s">
        <v>960</v>
      </c>
      <c r="B460" s="3" t="s">
        <v>415</v>
      </c>
      <c r="C460" s="2" t="s">
        <v>12</v>
      </c>
      <c r="D460" s="2" t="str">
        <f t="shared" si="35"/>
        <v>Jul</v>
      </c>
      <c r="E460" s="24" t="s">
        <v>344</v>
      </c>
      <c r="F460" s="20" t="s">
        <v>625</v>
      </c>
      <c r="G460" s="20" t="s">
        <v>626</v>
      </c>
      <c r="H460" s="20" t="s">
        <v>228</v>
      </c>
      <c r="I460" s="4">
        <v>75000</v>
      </c>
      <c r="J460" s="4">
        <v>75000</v>
      </c>
      <c r="K460" s="9" t="s">
        <v>45</v>
      </c>
      <c r="L460">
        <f t="shared" si="36"/>
        <v>3</v>
      </c>
      <c r="M460">
        <f t="shared" ca="1" si="39"/>
        <v>44</v>
      </c>
      <c r="N460" s="15">
        <f t="shared" si="37"/>
        <v>0</v>
      </c>
      <c r="O460" t="str">
        <f t="shared" ca="1" si="38"/>
        <v>31-60 Days</v>
      </c>
    </row>
    <row r="461" spans="1:15" x14ac:dyDescent="0.3">
      <c r="A461" s="6" t="s">
        <v>961</v>
      </c>
      <c r="B461" s="7" t="s">
        <v>135</v>
      </c>
      <c r="C461" s="6" t="s">
        <v>33</v>
      </c>
      <c r="D461" s="2" t="str">
        <f t="shared" si="35"/>
        <v>Jun</v>
      </c>
      <c r="E461" s="25" t="s">
        <v>369</v>
      </c>
      <c r="F461" s="21" t="s">
        <v>560</v>
      </c>
      <c r="G461" s="21" t="s">
        <v>55</v>
      </c>
      <c r="H461" s="21"/>
      <c r="I461" s="8">
        <v>25000</v>
      </c>
      <c r="J461" s="8">
        <v>0</v>
      </c>
      <c r="K461" s="12" t="s">
        <v>71</v>
      </c>
      <c r="L461">
        <f t="shared" si="36"/>
        <v>2</v>
      </c>
      <c r="M461">
        <f t="shared" ca="1" si="39"/>
        <v>376</v>
      </c>
      <c r="N461" s="15">
        <f t="shared" si="37"/>
        <v>25000</v>
      </c>
      <c r="O461" t="str">
        <f t="shared" ca="1" si="38"/>
        <v>90+ Days</v>
      </c>
    </row>
    <row r="462" spans="1:15" x14ac:dyDescent="0.3">
      <c r="A462" s="2" t="s">
        <v>962</v>
      </c>
      <c r="B462" s="3" t="s">
        <v>461</v>
      </c>
      <c r="C462" s="2" t="s">
        <v>12</v>
      </c>
      <c r="D462" s="2" t="str">
        <f t="shared" si="35"/>
        <v>May</v>
      </c>
      <c r="E462" s="24" t="s">
        <v>411</v>
      </c>
      <c r="F462" s="20" t="s">
        <v>163</v>
      </c>
      <c r="G462" s="20" t="s">
        <v>792</v>
      </c>
      <c r="H462" s="20"/>
      <c r="I462" s="4">
        <v>60000</v>
      </c>
      <c r="J462" s="4">
        <v>0</v>
      </c>
      <c r="K462" s="10" t="s">
        <v>57</v>
      </c>
      <c r="L462">
        <f t="shared" si="36"/>
        <v>1</v>
      </c>
      <c r="M462">
        <f t="shared" ca="1" si="39"/>
        <v>407</v>
      </c>
      <c r="N462" s="15">
        <f t="shared" si="37"/>
        <v>60000</v>
      </c>
      <c r="O462" t="str">
        <f t="shared" ca="1" si="38"/>
        <v>90+ Days</v>
      </c>
    </row>
    <row r="463" spans="1:15" x14ac:dyDescent="0.3">
      <c r="A463" s="6" t="s">
        <v>963</v>
      </c>
      <c r="B463" s="7" t="s">
        <v>407</v>
      </c>
      <c r="C463" s="6" t="s">
        <v>33</v>
      </c>
      <c r="D463" s="2" t="str">
        <f t="shared" si="35"/>
        <v>Aug</v>
      </c>
      <c r="E463" s="25" t="s">
        <v>289</v>
      </c>
      <c r="F463" s="21" t="s">
        <v>61</v>
      </c>
      <c r="G463" s="21" t="s">
        <v>62</v>
      </c>
      <c r="H463" s="21" t="s">
        <v>490</v>
      </c>
      <c r="I463" s="8">
        <v>55000</v>
      </c>
      <c r="J463" s="8">
        <v>55000</v>
      </c>
      <c r="K463" s="5" t="s">
        <v>17</v>
      </c>
      <c r="L463">
        <f t="shared" si="36"/>
        <v>1</v>
      </c>
      <c r="M463">
        <f t="shared" ca="1" si="39"/>
        <v>18</v>
      </c>
      <c r="N463" s="15">
        <f t="shared" si="37"/>
        <v>0</v>
      </c>
      <c r="O463" t="str">
        <f t="shared" ca="1" si="38"/>
        <v>0-30 Days</v>
      </c>
    </row>
    <row r="464" spans="1:15" x14ac:dyDescent="0.3">
      <c r="A464" s="2" t="s">
        <v>964</v>
      </c>
      <c r="B464" s="3" t="s">
        <v>660</v>
      </c>
      <c r="C464" s="2" t="s">
        <v>12</v>
      </c>
      <c r="D464" s="2" t="str">
        <f t="shared" si="35"/>
        <v>Sep</v>
      </c>
      <c r="E464" s="24" t="s">
        <v>171</v>
      </c>
      <c r="F464" s="20" t="s">
        <v>172</v>
      </c>
      <c r="G464" s="20" t="s">
        <v>173</v>
      </c>
      <c r="H464" s="20" t="s">
        <v>133</v>
      </c>
      <c r="I464" s="4">
        <v>12000</v>
      </c>
      <c r="J464" s="4">
        <v>12000</v>
      </c>
      <c r="K464" s="5" t="s">
        <v>17</v>
      </c>
      <c r="L464">
        <f t="shared" si="36"/>
        <v>1</v>
      </c>
      <c r="M464">
        <f t="shared" ca="1" si="39"/>
        <v>11</v>
      </c>
      <c r="N464" s="15">
        <f t="shared" si="37"/>
        <v>0</v>
      </c>
      <c r="O464" t="str">
        <f t="shared" ca="1" si="38"/>
        <v>0-30 Days</v>
      </c>
    </row>
    <row r="465" spans="1:15" x14ac:dyDescent="0.3">
      <c r="A465" s="6" t="s">
        <v>965</v>
      </c>
      <c r="B465" s="7" t="s">
        <v>339</v>
      </c>
      <c r="C465" s="6" t="s">
        <v>12</v>
      </c>
      <c r="D465" s="2" t="str">
        <f t="shared" si="35"/>
        <v>Nov</v>
      </c>
      <c r="E465" s="25" t="s">
        <v>91</v>
      </c>
      <c r="F465" s="21" t="s">
        <v>92</v>
      </c>
      <c r="G465" s="21" t="s">
        <v>93</v>
      </c>
      <c r="H465" s="21"/>
      <c r="I465" s="8">
        <v>22000</v>
      </c>
      <c r="J465" s="8">
        <v>0</v>
      </c>
      <c r="K465" s="10" t="s">
        <v>57</v>
      </c>
      <c r="L465">
        <f t="shared" si="36"/>
        <v>1</v>
      </c>
      <c r="M465">
        <f t="shared" ca="1" si="39"/>
        <v>199</v>
      </c>
      <c r="N465" s="15">
        <f t="shared" si="37"/>
        <v>22000</v>
      </c>
      <c r="O465" t="str">
        <f t="shared" ca="1" si="38"/>
        <v>90+ Days</v>
      </c>
    </row>
    <row r="466" spans="1:15" x14ac:dyDescent="0.3">
      <c r="A466" s="2" t="s">
        <v>966</v>
      </c>
      <c r="B466" s="3" t="s">
        <v>492</v>
      </c>
      <c r="C466" s="2" t="s">
        <v>26</v>
      </c>
      <c r="D466" s="2" t="str">
        <f t="shared" si="35"/>
        <v>Oct</v>
      </c>
      <c r="E466" s="24" t="s">
        <v>416</v>
      </c>
      <c r="F466" s="20" t="s">
        <v>432</v>
      </c>
      <c r="G466" s="20" t="s">
        <v>37</v>
      </c>
      <c r="H466" s="20" t="s">
        <v>214</v>
      </c>
      <c r="I466" s="4">
        <v>30000</v>
      </c>
      <c r="J466" s="4">
        <v>30000</v>
      </c>
      <c r="K466" s="5" t="s">
        <v>17</v>
      </c>
      <c r="L466">
        <f t="shared" si="36"/>
        <v>3</v>
      </c>
      <c r="M466">
        <f t="shared" ca="1" si="39"/>
        <v>17</v>
      </c>
      <c r="N466" s="15">
        <f t="shared" si="37"/>
        <v>0</v>
      </c>
      <c r="O466" t="str">
        <f t="shared" ca="1" si="38"/>
        <v>0-30 Days</v>
      </c>
    </row>
    <row r="467" spans="1:15" x14ac:dyDescent="0.3">
      <c r="A467" s="6" t="s">
        <v>967</v>
      </c>
      <c r="B467" s="7" t="s">
        <v>380</v>
      </c>
      <c r="C467" s="6" t="s">
        <v>12</v>
      </c>
      <c r="D467" s="2" t="str">
        <f t="shared" si="35"/>
        <v>Nov</v>
      </c>
      <c r="E467" s="25" t="s">
        <v>128</v>
      </c>
      <c r="F467" s="21" t="s">
        <v>245</v>
      </c>
      <c r="G467" s="21" t="s">
        <v>281</v>
      </c>
      <c r="H467" s="21"/>
      <c r="I467" s="8">
        <v>8000</v>
      </c>
      <c r="J467" s="8">
        <v>0</v>
      </c>
      <c r="K467" s="10" t="s">
        <v>57</v>
      </c>
      <c r="L467">
        <f t="shared" si="36"/>
        <v>3</v>
      </c>
      <c r="M467">
        <f t="shared" ca="1" si="39"/>
        <v>219</v>
      </c>
      <c r="N467" s="15">
        <f t="shared" si="37"/>
        <v>8000</v>
      </c>
      <c r="O467" t="str">
        <f t="shared" ca="1" si="38"/>
        <v>90+ Days</v>
      </c>
    </row>
    <row r="468" spans="1:15" x14ac:dyDescent="0.3">
      <c r="A468" s="2" t="s">
        <v>968</v>
      </c>
      <c r="B468" s="3" t="s">
        <v>365</v>
      </c>
      <c r="C468" s="2" t="s">
        <v>40</v>
      </c>
      <c r="D468" s="2" t="str">
        <f t="shared" si="35"/>
        <v>Oct</v>
      </c>
      <c r="E468" s="24" t="s">
        <v>126</v>
      </c>
      <c r="F468" s="20" t="s">
        <v>184</v>
      </c>
      <c r="G468" s="20" t="s">
        <v>465</v>
      </c>
      <c r="H468" s="20" t="s">
        <v>278</v>
      </c>
      <c r="I468" s="4">
        <v>55000</v>
      </c>
      <c r="J468" s="4">
        <v>55000</v>
      </c>
      <c r="K468" s="5" t="s">
        <v>17</v>
      </c>
      <c r="L468">
        <f t="shared" si="36"/>
        <v>3</v>
      </c>
      <c r="M468">
        <f t="shared" ca="1" si="39"/>
        <v>11</v>
      </c>
      <c r="N468" s="15">
        <f t="shared" si="37"/>
        <v>0</v>
      </c>
      <c r="O468" t="str">
        <f t="shared" ca="1" si="38"/>
        <v>0-30 Days</v>
      </c>
    </row>
    <row r="469" spans="1:15" x14ac:dyDescent="0.3">
      <c r="A469" s="6" t="s">
        <v>969</v>
      </c>
      <c r="B469" s="7" t="s">
        <v>339</v>
      </c>
      <c r="C469" s="6" t="s">
        <v>12</v>
      </c>
      <c r="D469" s="2" t="str">
        <f t="shared" si="35"/>
        <v>Jun</v>
      </c>
      <c r="E469" s="25" t="s">
        <v>560</v>
      </c>
      <c r="F469" s="21" t="s">
        <v>295</v>
      </c>
      <c r="G469" s="21" t="s">
        <v>634</v>
      </c>
      <c r="H469" s="21" t="s">
        <v>111</v>
      </c>
      <c r="I469" s="8">
        <v>30000</v>
      </c>
      <c r="J469" s="8">
        <v>22500</v>
      </c>
      <c r="K469" s="13" t="s">
        <v>113</v>
      </c>
      <c r="L469">
        <f t="shared" si="36"/>
        <v>1</v>
      </c>
      <c r="M469">
        <f t="shared" ca="1" si="39"/>
        <v>12</v>
      </c>
      <c r="N469" s="15">
        <f t="shared" si="37"/>
        <v>7500</v>
      </c>
      <c r="O469" t="str">
        <f t="shared" ca="1" si="38"/>
        <v>0-30 Days</v>
      </c>
    </row>
    <row r="470" spans="1:15" x14ac:dyDescent="0.3">
      <c r="A470" s="2" t="s">
        <v>970</v>
      </c>
      <c r="B470" s="3" t="s">
        <v>150</v>
      </c>
      <c r="C470" s="2" t="s">
        <v>33</v>
      </c>
      <c r="D470" s="2" t="str">
        <f t="shared" si="35"/>
        <v>Sep</v>
      </c>
      <c r="E470" s="24" t="s">
        <v>542</v>
      </c>
      <c r="F470" s="20" t="s">
        <v>399</v>
      </c>
      <c r="G470" s="20" t="s">
        <v>400</v>
      </c>
      <c r="H470" s="20" t="s">
        <v>672</v>
      </c>
      <c r="I470" s="4">
        <v>30000</v>
      </c>
      <c r="J470" s="4">
        <v>30000</v>
      </c>
      <c r="K470" s="5" t="s">
        <v>17</v>
      </c>
      <c r="L470">
        <f t="shared" si="36"/>
        <v>1</v>
      </c>
      <c r="M470">
        <f t="shared" ca="1" si="39"/>
        <v>12</v>
      </c>
      <c r="N470" s="15">
        <f t="shared" si="37"/>
        <v>0</v>
      </c>
      <c r="O470" t="str">
        <f t="shared" ca="1" si="38"/>
        <v>0-30 Days</v>
      </c>
    </row>
    <row r="471" spans="1:15" x14ac:dyDescent="0.3">
      <c r="A471" s="6" t="s">
        <v>971</v>
      </c>
      <c r="B471" s="7" t="s">
        <v>521</v>
      </c>
      <c r="C471" s="6" t="s">
        <v>33</v>
      </c>
      <c r="D471" s="2" t="str">
        <f t="shared" si="35"/>
        <v>Jun</v>
      </c>
      <c r="E471" s="25" t="s">
        <v>655</v>
      </c>
      <c r="F471" s="21" t="s">
        <v>294</v>
      </c>
      <c r="G471" s="21" t="s">
        <v>345</v>
      </c>
      <c r="H471" s="21" t="s">
        <v>86</v>
      </c>
      <c r="I471" s="8">
        <v>12000</v>
      </c>
      <c r="J471" s="8">
        <v>12000</v>
      </c>
      <c r="K471" s="5" t="s">
        <v>17</v>
      </c>
      <c r="L471">
        <f t="shared" si="36"/>
        <v>2</v>
      </c>
      <c r="M471">
        <f t="shared" ca="1" si="39"/>
        <v>25</v>
      </c>
      <c r="N471" s="15">
        <f t="shared" si="37"/>
        <v>0</v>
      </c>
      <c r="O471" t="str">
        <f t="shared" ca="1" si="38"/>
        <v>0-30 Days</v>
      </c>
    </row>
    <row r="472" spans="1:15" x14ac:dyDescent="0.3">
      <c r="A472" s="2" t="s">
        <v>972</v>
      </c>
      <c r="B472" s="3" t="s">
        <v>802</v>
      </c>
      <c r="C472" s="2" t="s">
        <v>12</v>
      </c>
      <c r="D472" s="2" t="str">
        <f t="shared" si="35"/>
        <v>Jun</v>
      </c>
      <c r="E472" s="24" t="s">
        <v>154</v>
      </c>
      <c r="F472" s="20" t="s">
        <v>396</v>
      </c>
      <c r="G472" s="20" t="s">
        <v>85</v>
      </c>
      <c r="H472" s="20" t="s">
        <v>353</v>
      </c>
      <c r="I472" s="4">
        <v>100000</v>
      </c>
      <c r="J472" s="4">
        <v>100000</v>
      </c>
      <c r="K472" s="5" t="s">
        <v>17</v>
      </c>
      <c r="L472">
        <f t="shared" si="36"/>
        <v>2</v>
      </c>
      <c r="M472">
        <f t="shared" ca="1" si="39"/>
        <v>20</v>
      </c>
      <c r="N472" s="15">
        <f t="shared" si="37"/>
        <v>0</v>
      </c>
      <c r="O472" t="str">
        <f t="shared" ca="1" si="38"/>
        <v>0-30 Days</v>
      </c>
    </row>
    <row r="473" spans="1:15" x14ac:dyDescent="0.3">
      <c r="A473" s="6" t="s">
        <v>973</v>
      </c>
      <c r="B473" s="7" t="s">
        <v>489</v>
      </c>
      <c r="C473" s="6" t="s">
        <v>40</v>
      </c>
      <c r="D473" s="2" t="str">
        <f t="shared" si="35"/>
        <v>Feb</v>
      </c>
      <c r="E473" s="25" t="s">
        <v>314</v>
      </c>
      <c r="F473" s="21" t="s">
        <v>80</v>
      </c>
      <c r="G473" s="21" t="s">
        <v>81</v>
      </c>
      <c r="H473" s="21"/>
      <c r="I473" s="8">
        <v>35000</v>
      </c>
      <c r="J473" s="8">
        <v>0</v>
      </c>
      <c r="K473" s="12" t="s">
        <v>71</v>
      </c>
      <c r="L473">
        <f t="shared" si="36"/>
        <v>3</v>
      </c>
      <c r="M473">
        <f t="shared" ca="1" si="39"/>
        <v>478</v>
      </c>
      <c r="N473" s="15">
        <f t="shared" si="37"/>
        <v>35000</v>
      </c>
      <c r="O473" t="str">
        <f t="shared" ca="1" si="38"/>
        <v>90+ Days</v>
      </c>
    </row>
    <row r="474" spans="1:15" x14ac:dyDescent="0.3">
      <c r="A474" s="2" t="s">
        <v>974</v>
      </c>
      <c r="B474" s="3" t="s">
        <v>431</v>
      </c>
      <c r="C474" s="2" t="s">
        <v>12</v>
      </c>
      <c r="D474" s="2" t="str">
        <f t="shared" si="35"/>
        <v>Apr</v>
      </c>
      <c r="E474" s="24" t="s">
        <v>576</v>
      </c>
      <c r="F474" s="20" t="s">
        <v>538</v>
      </c>
      <c r="G474" s="20" t="s">
        <v>151</v>
      </c>
      <c r="H474" s="20" t="s">
        <v>559</v>
      </c>
      <c r="I474" s="4">
        <v>75000</v>
      </c>
      <c r="J474" s="4">
        <v>75000</v>
      </c>
      <c r="K474" s="5" t="s">
        <v>17</v>
      </c>
      <c r="L474">
        <f t="shared" si="36"/>
        <v>2</v>
      </c>
      <c r="M474">
        <f t="shared" ca="1" si="39"/>
        <v>23</v>
      </c>
      <c r="N474" s="15">
        <f t="shared" si="37"/>
        <v>0</v>
      </c>
      <c r="O474" t="str">
        <f t="shared" ca="1" si="38"/>
        <v>0-30 Days</v>
      </c>
    </row>
    <row r="475" spans="1:15" x14ac:dyDescent="0.3">
      <c r="A475" s="6" t="s">
        <v>975</v>
      </c>
      <c r="B475" s="7" t="s">
        <v>198</v>
      </c>
      <c r="C475" s="6" t="s">
        <v>26</v>
      </c>
      <c r="D475" s="2" t="str">
        <f t="shared" si="35"/>
        <v>Mar</v>
      </c>
      <c r="E475" s="25" t="s">
        <v>331</v>
      </c>
      <c r="F475" s="21" t="s">
        <v>976</v>
      </c>
      <c r="G475" s="21" t="s">
        <v>977</v>
      </c>
      <c r="H475" s="21" t="s">
        <v>163</v>
      </c>
      <c r="I475" s="8">
        <v>50000</v>
      </c>
      <c r="J475" s="8">
        <v>50000</v>
      </c>
      <c r="K475" s="9" t="s">
        <v>45</v>
      </c>
      <c r="L475">
        <f t="shared" si="36"/>
        <v>1</v>
      </c>
      <c r="M475">
        <f t="shared" ca="1" si="39"/>
        <v>49</v>
      </c>
      <c r="N475" s="15">
        <f t="shared" si="37"/>
        <v>0</v>
      </c>
      <c r="O475" t="str">
        <f t="shared" ca="1" si="38"/>
        <v>31-60 Days</v>
      </c>
    </row>
    <row r="476" spans="1:15" x14ac:dyDescent="0.3">
      <c r="A476" s="2" t="s">
        <v>978</v>
      </c>
      <c r="B476" s="3" t="s">
        <v>325</v>
      </c>
      <c r="C476" s="2" t="s">
        <v>12</v>
      </c>
      <c r="D476" s="2" t="str">
        <f t="shared" si="35"/>
        <v>Aug</v>
      </c>
      <c r="E476" s="24" t="s">
        <v>340</v>
      </c>
      <c r="F476" s="20" t="s">
        <v>56</v>
      </c>
      <c r="G476" s="20" t="s">
        <v>542</v>
      </c>
      <c r="H476" s="20" t="s">
        <v>555</v>
      </c>
      <c r="I476" s="4">
        <v>20000</v>
      </c>
      <c r="J476" s="4">
        <v>20000</v>
      </c>
      <c r="K476" s="5" t="s">
        <v>17</v>
      </c>
      <c r="L476">
        <f t="shared" si="36"/>
        <v>2</v>
      </c>
      <c r="M476">
        <f t="shared" ca="1" si="39"/>
        <v>12</v>
      </c>
      <c r="N476" s="15">
        <f t="shared" si="37"/>
        <v>0</v>
      </c>
      <c r="O476" t="str">
        <f t="shared" ca="1" si="38"/>
        <v>0-30 Days</v>
      </c>
    </row>
    <row r="477" spans="1:15" x14ac:dyDescent="0.3">
      <c r="A477" s="6" t="s">
        <v>979</v>
      </c>
      <c r="B477" s="7" t="s">
        <v>65</v>
      </c>
      <c r="C477" s="6" t="s">
        <v>12</v>
      </c>
      <c r="D477" s="2" t="str">
        <f t="shared" si="35"/>
        <v>Oct</v>
      </c>
      <c r="E477" s="25" t="s">
        <v>376</v>
      </c>
      <c r="F477" s="21" t="s">
        <v>602</v>
      </c>
      <c r="G477" s="21" t="s">
        <v>137</v>
      </c>
      <c r="H477" s="21" t="s">
        <v>94</v>
      </c>
      <c r="I477" s="8">
        <v>35000</v>
      </c>
      <c r="J477" s="8">
        <v>35000</v>
      </c>
      <c r="K477" s="9" t="s">
        <v>45</v>
      </c>
      <c r="L477">
        <f t="shared" si="36"/>
        <v>1</v>
      </c>
      <c r="M477">
        <f t="shared" ca="1" si="39"/>
        <v>52</v>
      </c>
      <c r="N477" s="15">
        <f t="shared" si="37"/>
        <v>0</v>
      </c>
      <c r="O477" t="str">
        <f t="shared" ca="1" si="38"/>
        <v>31-60 Days</v>
      </c>
    </row>
    <row r="478" spans="1:15" x14ac:dyDescent="0.3">
      <c r="A478" s="2" t="s">
        <v>980</v>
      </c>
      <c r="B478" s="3" t="s">
        <v>500</v>
      </c>
      <c r="C478" s="2" t="s">
        <v>12</v>
      </c>
      <c r="D478" s="2" t="str">
        <f t="shared" si="35"/>
        <v>May</v>
      </c>
      <c r="E478" s="24" t="s">
        <v>367</v>
      </c>
      <c r="F478" s="20" t="s">
        <v>468</v>
      </c>
      <c r="G478" s="20" t="s">
        <v>112</v>
      </c>
      <c r="H478" s="20" t="s">
        <v>368</v>
      </c>
      <c r="I478" s="4">
        <v>35000</v>
      </c>
      <c r="J478" s="4">
        <v>35000</v>
      </c>
      <c r="K478" s="5" t="s">
        <v>17</v>
      </c>
      <c r="L478">
        <f t="shared" si="36"/>
        <v>2</v>
      </c>
      <c r="M478">
        <f t="shared" ca="1" si="39"/>
        <v>28</v>
      </c>
      <c r="N478" s="15">
        <f t="shared" si="37"/>
        <v>0</v>
      </c>
      <c r="O478" t="str">
        <f t="shared" ca="1" si="38"/>
        <v>0-30 Days</v>
      </c>
    </row>
    <row r="479" spans="1:15" x14ac:dyDescent="0.3">
      <c r="A479" s="6" t="s">
        <v>981</v>
      </c>
      <c r="B479" s="7" t="s">
        <v>794</v>
      </c>
      <c r="C479" s="6" t="s">
        <v>12</v>
      </c>
      <c r="D479" s="2" t="str">
        <f t="shared" si="35"/>
        <v>Jun</v>
      </c>
      <c r="E479" s="25" t="s">
        <v>712</v>
      </c>
      <c r="F479" s="21" t="s">
        <v>178</v>
      </c>
      <c r="G479" s="21" t="s">
        <v>337</v>
      </c>
      <c r="H479" s="21"/>
      <c r="I479" s="8">
        <v>20000</v>
      </c>
      <c r="J479" s="8">
        <v>0</v>
      </c>
      <c r="K479" s="12" t="s">
        <v>71</v>
      </c>
      <c r="L479">
        <f t="shared" si="36"/>
        <v>1</v>
      </c>
      <c r="M479">
        <f t="shared" ca="1" si="39"/>
        <v>350</v>
      </c>
      <c r="N479" s="15">
        <f t="shared" si="37"/>
        <v>20000</v>
      </c>
      <c r="O479" t="str">
        <f t="shared" ca="1" si="38"/>
        <v>90+ Days</v>
      </c>
    </row>
    <row r="480" spans="1:15" x14ac:dyDescent="0.3">
      <c r="A480" s="2" t="s">
        <v>982</v>
      </c>
      <c r="B480" s="3" t="s">
        <v>449</v>
      </c>
      <c r="C480" s="2" t="s">
        <v>12</v>
      </c>
      <c r="D480" s="2" t="str">
        <f t="shared" si="35"/>
        <v>Apr</v>
      </c>
      <c r="E480" s="24" t="s">
        <v>162</v>
      </c>
      <c r="F480" s="20" t="s">
        <v>51</v>
      </c>
      <c r="G480" s="20" t="s">
        <v>235</v>
      </c>
      <c r="H480" s="20" t="s">
        <v>576</v>
      </c>
      <c r="I480" s="4">
        <v>8000</v>
      </c>
      <c r="J480" s="4">
        <v>8000</v>
      </c>
      <c r="K480" s="5" t="s">
        <v>17</v>
      </c>
      <c r="L480">
        <f t="shared" si="36"/>
        <v>3</v>
      </c>
      <c r="M480">
        <f t="shared" ca="1" si="39"/>
        <v>7</v>
      </c>
      <c r="N480" s="15">
        <f t="shared" si="37"/>
        <v>0</v>
      </c>
      <c r="O480" t="str">
        <f t="shared" ca="1" si="38"/>
        <v>0-30 Days</v>
      </c>
    </row>
    <row r="481" spans="1:15" x14ac:dyDescent="0.3">
      <c r="A481" s="6" t="s">
        <v>983</v>
      </c>
      <c r="B481" s="7" t="s">
        <v>415</v>
      </c>
      <c r="C481" s="6" t="s">
        <v>12</v>
      </c>
      <c r="D481" s="2" t="str">
        <f t="shared" si="35"/>
        <v>Jan</v>
      </c>
      <c r="E481" s="25" t="s">
        <v>605</v>
      </c>
      <c r="F481" s="21" t="s">
        <v>264</v>
      </c>
      <c r="G481" s="21" t="s">
        <v>21</v>
      </c>
      <c r="H481" s="21" t="s">
        <v>314</v>
      </c>
      <c r="I481" s="8">
        <v>18000</v>
      </c>
      <c r="J481" s="8">
        <v>18000</v>
      </c>
      <c r="K481" s="5" t="s">
        <v>17</v>
      </c>
      <c r="L481">
        <f t="shared" si="36"/>
        <v>1</v>
      </c>
      <c r="M481">
        <f t="shared" ca="1" si="39"/>
        <v>25</v>
      </c>
      <c r="N481" s="15">
        <f t="shared" si="37"/>
        <v>0</v>
      </c>
      <c r="O481" t="str">
        <f t="shared" ca="1" si="38"/>
        <v>0-30 Days</v>
      </c>
    </row>
    <row r="482" spans="1:15" x14ac:dyDescent="0.3">
      <c r="A482" s="2" t="s">
        <v>984</v>
      </c>
      <c r="B482" s="3" t="s">
        <v>78</v>
      </c>
      <c r="C482" s="2" t="s">
        <v>33</v>
      </c>
      <c r="D482" s="2" t="str">
        <f t="shared" si="35"/>
        <v>Feb</v>
      </c>
      <c r="E482" s="24" t="s">
        <v>200</v>
      </c>
      <c r="F482" s="20" t="s">
        <v>638</v>
      </c>
      <c r="G482" s="20" t="s">
        <v>16</v>
      </c>
      <c r="H482" s="20" t="s">
        <v>14</v>
      </c>
      <c r="I482" s="4">
        <v>20000</v>
      </c>
      <c r="J482" s="4">
        <v>20000</v>
      </c>
      <c r="K482" s="5" t="s">
        <v>17</v>
      </c>
      <c r="L482">
        <f t="shared" si="36"/>
        <v>3</v>
      </c>
      <c r="M482">
        <f t="shared" ca="1" si="39"/>
        <v>21</v>
      </c>
      <c r="N482" s="15">
        <f t="shared" si="37"/>
        <v>0</v>
      </c>
      <c r="O482" t="str">
        <f t="shared" ca="1" si="38"/>
        <v>0-30 Days</v>
      </c>
    </row>
    <row r="483" spans="1:15" x14ac:dyDescent="0.3">
      <c r="A483" s="6" t="s">
        <v>985</v>
      </c>
      <c r="B483" s="7" t="s">
        <v>716</v>
      </c>
      <c r="C483" s="6" t="s">
        <v>12</v>
      </c>
      <c r="D483" s="2" t="str">
        <f t="shared" si="35"/>
        <v>Jul</v>
      </c>
      <c r="E483" s="25" t="s">
        <v>86</v>
      </c>
      <c r="F483" s="21" t="s">
        <v>747</v>
      </c>
      <c r="G483" s="21" t="s">
        <v>699</v>
      </c>
      <c r="H483" s="21" t="s">
        <v>195</v>
      </c>
      <c r="I483" s="8">
        <v>35000</v>
      </c>
      <c r="J483" s="8">
        <v>35000</v>
      </c>
      <c r="K483" s="9" t="s">
        <v>45</v>
      </c>
      <c r="L483">
        <f t="shared" si="36"/>
        <v>1</v>
      </c>
      <c r="M483">
        <f t="shared" ca="1" si="39"/>
        <v>31</v>
      </c>
      <c r="N483" s="15">
        <f t="shared" si="37"/>
        <v>0</v>
      </c>
      <c r="O483" t="str">
        <f t="shared" ca="1" si="38"/>
        <v>31-60 Days</v>
      </c>
    </row>
    <row r="484" spans="1:15" x14ac:dyDescent="0.3">
      <c r="A484" s="2" t="s">
        <v>986</v>
      </c>
      <c r="B484" s="3" t="s">
        <v>572</v>
      </c>
      <c r="C484" s="2" t="s">
        <v>26</v>
      </c>
      <c r="D484" s="2" t="str">
        <f t="shared" si="35"/>
        <v>Sep</v>
      </c>
      <c r="E484" s="24" t="s">
        <v>172</v>
      </c>
      <c r="F484" s="20" t="s">
        <v>597</v>
      </c>
      <c r="G484" s="20" t="s">
        <v>140</v>
      </c>
      <c r="H484" s="20" t="s">
        <v>273</v>
      </c>
      <c r="I484" s="4">
        <v>18000</v>
      </c>
      <c r="J484" s="4">
        <v>18000</v>
      </c>
      <c r="K484" s="5" t="s">
        <v>17</v>
      </c>
      <c r="L484">
        <f t="shared" si="36"/>
        <v>3</v>
      </c>
      <c r="M484">
        <f t="shared" ca="1" si="39"/>
        <v>21</v>
      </c>
      <c r="N484" s="15">
        <f t="shared" si="37"/>
        <v>0</v>
      </c>
      <c r="O484" t="str">
        <f t="shared" ca="1" si="38"/>
        <v>0-30 Days</v>
      </c>
    </row>
    <row r="485" spans="1:15" x14ac:dyDescent="0.3">
      <c r="A485" s="6" t="s">
        <v>987</v>
      </c>
      <c r="B485" s="7" t="s">
        <v>651</v>
      </c>
      <c r="C485" s="6" t="s">
        <v>12</v>
      </c>
      <c r="D485" s="2" t="str">
        <f t="shared" si="35"/>
        <v>May</v>
      </c>
      <c r="E485" s="25" t="s">
        <v>224</v>
      </c>
      <c r="F485" s="21" t="s">
        <v>42</v>
      </c>
      <c r="G485" s="21" t="s">
        <v>43</v>
      </c>
      <c r="H485" s="21" t="s">
        <v>350</v>
      </c>
      <c r="I485" s="8">
        <v>60000</v>
      </c>
      <c r="J485" s="8">
        <v>60000</v>
      </c>
      <c r="K485" s="5" t="s">
        <v>17</v>
      </c>
      <c r="L485">
        <f t="shared" si="36"/>
        <v>3</v>
      </c>
      <c r="M485">
        <f t="shared" ca="1" si="39"/>
        <v>27</v>
      </c>
      <c r="N485" s="15">
        <f t="shared" si="37"/>
        <v>0</v>
      </c>
      <c r="O485" t="str">
        <f t="shared" ca="1" si="38"/>
        <v>0-30 Days</v>
      </c>
    </row>
    <row r="486" spans="1:15" x14ac:dyDescent="0.3">
      <c r="A486" s="2" t="s">
        <v>988</v>
      </c>
      <c r="B486" s="3" t="s">
        <v>380</v>
      </c>
      <c r="C486" s="2" t="s">
        <v>12</v>
      </c>
      <c r="D486" s="2" t="str">
        <f t="shared" si="35"/>
        <v>Aug</v>
      </c>
      <c r="E486" s="24" t="s">
        <v>480</v>
      </c>
      <c r="F486" s="20" t="s">
        <v>87</v>
      </c>
      <c r="G486" s="20" t="s">
        <v>484</v>
      </c>
      <c r="H486" s="20" t="s">
        <v>322</v>
      </c>
      <c r="I486" s="4">
        <v>15000</v>
      </c>
      <c r="J486" s="4">
        <v>3750</v>
      </c>
      <c r="K486" s="13" t="s">
        <v>113</v>
      </c>
      <c r="L486">
        <f t="shared" si="36"/>
        <v>1</v>
      </c>
      <c r="M486">
        <f t="shared" ca="1" si="39"/>
        <v>38</v>
      </c>
      <c r="N486" s="15">
        <f t="shared" si="37"/>
        <v>11250</v>
      </c>
      <c r="O486" t="str">
        <f t="shared" ca="1" si="38"/>
        <v>31-60 Days</v>
      </c>
    </row>
    <row r="487" spans="1:15" x14ac:dyDescent="0.3">
      <c r="A487" s="6" t="s">
        <v>989</v>
      </c>
      <c r="B487" s="7" t="s">
        <v>601</v>
      </c>
      <c r="C487" s="6" t="s">
        <v>40</v>
      </c>
      <c r="D487" s="2" t="str">
        <f t="shared" si="35"/>
        <v>Apr</v>
      </c>
      <c r="E487" s="25" t="s">
        <v>222</v>
      </c>
      <c r="F487" s="21" t="s">
        <v>477</v>
      </c>
      <c r="G487" s="21" t="s">
        <v>367</v>
      </c>
      <c r="H487" s="21" t="s">
        <v>208</v>
      </c>
      <c r="I487" s="8">
        <v>45000</v>
      </c>
      <c r="J487" s="8">
        <v>45000</v>
      </c>
      <c r="K487" s="5" t="s">
        <v>17</v>
      </c>
      <c r="L487">
        <f t="shared" si="36"/>
        <v>3</v>
      </c>
      <c r="M487">
        <f t="shared" ca="1" si="39"/>
        <v>16</v>
      </c>
      <c r="N487" s="15">
        <f t="shared" si="37"/>
        <v>0</v>
      </c>
      <c r="O487" t="str">
        <f t="shared" ca="1" si="38"/>
        <v>0-30 Days</v>
      </c>
    </row>
    <row r="488" spans="1:15" x14ac:dyDescent="0.3">
      <c r="A488" s="2" t="s">
        <v>990</v>
      </c>
      <c r="B488" s="3" t="s">
        <v>512</v>
      </c>
      <c r="C488" s="2" t="s">
        <v>12</v>
      </c>
      <c r="D488" s="2" t="str">
        <f t="shared" si="35"/>
        <v>Jul</v>
      </c>
      <c r="E488" s="24" t="s">
        <v>991</v>
      </c>
      <c r="F488" s="20" t="s">
        <v>355</v>
      </c>
      <c r="G488" s="20" t="s">
        <v>256</v>
      </c>
      <c r="H488" s="20"/>
      <c r="I488" s="4">
        <v>100000</v>
      </c>
      <c r="J488" s="4">
        <v>0</v>
      </c>
      <c r="K488" s="11" t="s">
        <v>63</v>
      </c>
      <c r="L488">
        <f t="shared" si="36"/>
        <v>1</v>
      </c>
      <c r="M488">
        <f t="shared" ca="1" si="39"/>
        <v>327</v>
      </c>
      <c r="N488" s="15">
        <f t="shared" si="37"/>
        <v>100000</v>
      </c>
      <c r="O488" t="str">
        <f t="shared" ca="1" si="38"/>
        <v>90+ Days</v>
      </c>
    </row>
    <row r="489" spans="1:15" x14ac:dyDescent="0.3">
      <c r="A489" s="6" t="s">
        <v>992</v>
      </c>
      <c r="B489" s="7" t="s">
        <v>716</v>
      </c>
      <c r="C489" s="6" t="s">
        <v>12</v>
      </c>
      <c r="D489" s="2" t="str">
        <f t="shared" si="35"/>
        <v>Oct</v>
      </c>
      <c r="E489" s="25" t="s">
        <v>623</v>
      </c>
      <c r="F489" s="21" t="s">
        <v>121</v>
      </c>
      <c r="G489" s="21" t="s">
        <v>122</v>
      </c>
      <c r="H489" s="21" t="s">
        <v>327</v>
      </c>
      <c r="I489" s="8">
        <v>40000</v>
      </c>
      <c r="J489" s="8">
        <v>40000</v>
      </c>
      <c r="K489" s="5" t="s">
        <v>17</v>
      </c>
      <c r="L489">
        <f t="shared" si="36"/>
        <v>1</v>
      </c>
      <c r="M489">
        <f t="shared" ca="1" si="39"/>
        <v>7</v>
      </c>
      <c r="N489" s="15">
        <f t="shared" si="37"/>
        <v>0</v>
      </c>
      <c r="O489" t="str">
        <f t="shared" ca="1" si="38"/>
        <v>0-30 Days</v>
      </c>
    </row>
    <row r="490" spans="1:15" x14ac:dyDescent="0.3">
      <c r="A490" s="2" t="s">
        <v>993</v>
      </c>
      <c r="B490" s="3" t="s">
        <v>115</v>
      </c>
      <c r="C490" s="2" t="s">
        <v>12</v>
      </c>
      <c r="D490" s="2" t="str">
        <f t="shared" si="35"/>
        <v>Nov</v>
      </c>
      <c r="E490" s="24" t="s">
        <v>92</v>
      </c>
      <c r="F490" s="20" t="s">
        <v>465</v>
      </c>
      <c r="G490" s="20" t="s">
        <v>390</v>
      </c>
      <c r="H490" s="20" t="s">
        <v>573</v>
      </c>
      <c r="I490" s="4">
        <v>10000</v>
      </c>
      <c r="J490" s="4">
        <v>10000</v>
      </c>
      <c r="K490" s="5" t="s">
        <v>17</v>
      </c>
      <c r="L490">
        <f t="shared" si="36"/>
        <v>1</v>
      </c>
      <c r="M490">
        <f t="shared" ca="1" si="39"/>
        <v>17</v>
      </c>
      <c r="N490" s="15">
        <f t="shared" si="37"/>
        <v>0</v>
      </c>
      <c r="O490" t="str">
        <f t="shared" ca="1" si="38"/>
        <v>0-30 Days</v>
      </c>
    </row>
    <row r="491" spans="1:15" x14ac:dyDescent="0.3">
      <c r="A491" s="6" t="s">
        <v>994</v>
      </c>
      <c r="B491" s="7" t="s">
        <v>521</v>
      </c>
      <c r="C491" s="6" t="s">
        <v>33</v>
      </c>
      <c r="D491" s="2" t="str">
        <f t="shared" si="35"/>
        <v>Sep</v>
      </c>
      <c r="E491" s="25" t="s">
        <v>341</v>
      </c>
      <c r="F491" s="21" t="s">
        <v>88</v>
      </c>
      <c r="G491" s="21" t="s">
        <v>416</v>
      </c>
      <c r="H491" s="21"/>
      <c r="I491" s="8">
        <v>5000</v>
      </c>
      <c r="J491" s="8">
        <v>0</v>
      </c>
      <c r="K491" s="12" t="s">
        <v>71</v>
      </c>
      <c r="L491">
        <f t="shared" si="36"/>
        <v>1</v>
      </c>
      <c r="M491">
        <f t="shared" ca="1" si="39"/>
        <v>287</v>
      </c>
      <c r="N491" s="15">
        <f t="shared" si="37"/>
        <v>5000</v>
      </c>
      <c r="O491" t="str">
        <f t="shared" ca="1" si="38"/>
        <v>90+ Days</v>
      </c>
    </row>
    <row r="492" spans="1:15" x14ac:dyDescent="0.3">
      <c r="A492" s="2" t="s">
        <v>995</v>
      </c>
      <c r="B492" s="3" t="s">
        <v>180</v>
      </c>
      <c r="C492" s="2" t="s">
        <v>33</v>
      </c>
      <c r="D492" s="2" t="str">
        <f t="shared" si="35"/>
        <v>Sep</v>
      </c>
      <c r="E492" s="24" t="s">
        <v>116</v>
      </c>
      <c r="F492" s="20" t="s">
        <v>117</v>
      </c>
      <c r="G492" s="20" t="s">
        <v>34</v>
      </c>
      <c r="H492" s="20" t="s">
        <v>495</v>
      </c>
      <c r="I492" s="4">
        <v>75000</v>
      </c>
      <c r="J492" s="4">
        <v>75000</v>
      </c>
      <c r="K492" s="9" t="s">
        <v>45</v>
      </c>
      <c r="L492">
        <f t="shared" si="36"/>
        <v>2</v>
      </c>
      <c r="M492">
        <f t="shared" ca="1" si="39"/>
        <v>58</v>
      </c>
      <c r="N492" s="15">
        <f t="shared" si="37"/>
        <v>0</v>
      </c>
      <c r="O492" t="str">
        <f t="shared" ca="1" si="38"/>
        <v>31-60 Days</v>
      </c>
    </row>
    <row r="493" spans="1:15" x14ac:dyDescent="0.3">
      <c r="A493" s="6" t="s">
        <v>996</v>
      </c>
      <c r="B493" s="7" t="s">
        <v>53</v>
      </c>
      <c r="C493" s="6" t="s">
        <v>40</v>
      </c>
      <c r="D493" s="2" t="str">
        <f t="shared" si="35"/>
        <v>Sep</v>
      </c>
      <c r="E493" s="25" t="s">
        <v>629</v>
      </c>
      <c r="F493" s="21" t="s">
        <v>171</v>
      </c>
      <c r="G493" s="21" t="s">
        <v>215</v>
      </c>
      <c r="H493" s="21" t="s">
        <v>125</v>
      </c>
      <c r="I493" s="8">
        <v>40000</v>
      </c>
      <c r="J493" s="8">
        <v>40000</v>
      </c>
      <c r="K493" s="5" t="s">
        <v>17</v>
      </c>
      <c r="L493">
        <f t="shared" si="36"/>
        <v>1</v>
      </c>
      <c r="M493">
        <f t="shared" ca="1" si="39"/>
        <v>27</v>
      </c>
      <c r="N493" s="15">
        <f t="shared" si="37"/>
        <v>0</v>
      </c>
      <c r="O493" t="str">
        <f t="shared" ca="1" si="38"/>
        <v>0-30 Days</v>
      </c>
    </row>
    <row r="494" spans="1:15" x14ac:dyDescent="0.3">
      <c r="A494" s="2" t="s">
        <v>997</v>
      </c>
      <c r="B494" s="3" t="s">
        <v>494</v>
      </c>
      <c r="C494" s="2" t="s">
        <v>12</v>
      </c>
      <c r="D494" s="2" t="str">
        <f t="shared" si="35"/>
        <v>Sep</v>
      </c>
      <c r="E494" s="24" t="s">
        <v>341</v>
      </c>
      <c r="F494" s="20" t="s">
        <v>542</v>
      </c>
      <c r="G494" s="20" t="s">
        <v>597</v>
      </c>
      <c r="H494" s="20" t="s">
        <v>290</v>
      </c>
      <c r="I494" s="4">
        <v>8000</v>
      </c>
      <c r="J494" s="4">
        <v>6000</v>
      </c>
      <c r="K494" s="13" t="s">
        <v>113</v>
      </c>
      <c r="L494">
        <f t="shared" si="36"/>
        <v>2</v>
      </c>
      <c r="M494">
        <f t="shared" ca="1" si="39"/>
        <v>22</v>
      </c>
      <c r="N494" s="15">
        <f t="shared" si="37"/>
        <v>2000</v>
      </c>
      <c r="O494" t="str">
        <f t="shared" ca="1" si="38"/>
        <v>0-30 Days</v>
      </c>
    </row>
    <row r="495" spans="1:15" x14ac:dyDescent="0.3">
      <c r="A495" s="6" t="s">
        <v>998</v>
      </c>
      <c r="B495" s="7" t="s">
        <v>494</v>
      </c>
      <c r="C495" s="6" t="s">
        <v>12</v>
      </c>
      <c r="D495" s="2" t="str">
        <f t="shared" si="35"/>
        <v>Dec</v>
      </c>
      <c r="E495" s="25" t="s">
        <v>363</v>
      </c>
      <c r="F495" s="21" t="s">
        <v>141</v>
      </c>
      <c r="G495" s="21" t="s">
        <v>302</v>
      </c>
      <c r="H495" s="21" t="s">
        <v>93</v>
      </c>
      <c r="I495" s="8">
        <v>25000</v>
      </c>
      <c r="J495" s="8">
        <v>6250</v>
      </c>
      <c r="K495" s="13" t="s">
        <v>113</v>
      </c>
      <c r="L495">
        <f t="shared" si="36"/>
        <v>1</v>
      </c>
      <c r="M495">
        <f t="shared" ca="1" si="39"/>
        <v>25</v>
      </c>
      <c r="N495" s="15">
        <f t="shared" si="37"/>
        <v>18750</v>
      </c>
      <c r="O495" t="str">
        <f t="shared" ca="1" si="38"/>
        <v>0-30 Days</v>
      </c>
    </row>
    <row r="496" spans="1:15" x14ac:dyDescent="0.3">
      <c r="A496" s="2" t="s">
        <v>999</v>
      </c>
      <c r="B496" s="3" t="s">
        <v>280</v>
      </c>
      <c r="C496" s="2" t="s">
        <v>33</v>
      </c>
      <c r="D496" s="2" t="str">
        <f t="shared" si="35"/>
        <v>Oct</v>
      </c>
      <c r="E496" s="24" t="s">
        <v>126</v>
      </c>
      <c r="F496" s="20" t="s">
        <v>215</v>
      </c>
      <c r="G496" s="20" t="s">
        <v>91</v>
      </c>
      <c r="H496" s="20" t="s">
        <v>732</v>
      </c>
      <c r="I496" s="4">
        <v>12000</v>
      </c>
      <c r="J496" s="4">
        <v>3000</v>
      </c>
      <c r="K496" s="13" t="s">
        <v>113</v>
      </c>
      <c r="L496">
        <f t="shared" si="36"/>
        <v>1</v>
      </c>
      <c r="M496">
        <f t="shared" ca="1" si="39"/>
        <v>24</v>
      </c>
      <c r="N496" s="15">
        <f t="shared" si="37"/>
        <v>9000</v>
      </c>
      <c r="O496" t="str">
        <f t="shared" ca="1" si="38"/>
        <v>0-30 Days</v>
      </c>
    </row>
    <row r="497" spans="1:15" x14ac:dyDescent="0.3">
      <c r="A497" s="6" t="s">
        <v>1000</v>
      </c>
      <c r="B497" s="7" t="s">
        <v>494</v>
      </c>
      <c r="C497" s="6" t="s">
        <v>12</v>
      </c>
      <c r="D497" s="2" t="str">
        <f t="shared" si="35"/>
        <v>May</v>
      </c>
      <c r="E497" s="25" t="s">
        <v>411</v>
      </c>
      <c r="F497" s="21" t="s">
        <v>591</v>
      </c>
      <c r="G497" s="21" t="s">
        <v>295</v>
      </c>
      <c r="H497" s="21" t="s">
        <v>427</v>
      </c>
      <c r="I497" s="8">
        <v>12000</v>
      </c>
      <c r="J497" s="8">
        <v>12000</v>
      </c>
      <c r="K497" s="9" t="s">
        <v>45</v>
      </c>
      <c r="L497">
        <f t="shared" si="36"/>
        <v>3</v>
      </c>
      <c r="M497">
        <f t="shared" ca="1" si="39"/>
        <v>48</v>
      </c>
      <c r="N497" s="15">
        <f t="shared" si="37"/>
        <v>0</v>
      </c>
      <c r="O497" t="str">
        <f t="shared" ca="1" si="38"/>
        <v>31-60 Days</v>
      </c>
    </row>
    <row r="498" spans="1:15" x14ac:dyDescent="0.3">
      <c r="A498" s="2" t="s">
        <v>1001</v>
      </c>
      <c r="B498" s="3" t="s">
        <v>339</v>
      </c>
      <c r="C498" s="2" t="s">
        <v>12</v>
      </c>
      <c r="D498" s="2" t="str">
        <f t="shared" si="35"/>
        <v>Jul</v>
      </c>
      <c r="E498" s="24" t="s">
        <v>345</v>
      </c>
      <c r="F498" s="20" t="s">
        <v>443</v>
      </c>
      <c r="G498" s="20" t="s">
        <v>321</v>
      </c>
      <c r="H498" s="20"/>
      <c r="I498" s="4">
        <v>20000</v>
      </c>
      <c r="J498" s="4">
        <v>0</v>
      </c>
      <c r="K498" s="12" t="s">
        <v>71</v>
      </c>
      <c r="L498">
        <f t="shared" si="36"/>
        <v>3</v>
      </c>
      <c r="M498">
        <f t="shared" ca="1" si="39"/>
        <v>332</v>
      </c>
      <c r="N498" s="15">
        <f t="shared" si="37"/>
        <v>20000</v>
      </c>
      <c r="O498" t="str">
        <f t="shared" ca="1" si="38"/>
        <v>90+ Days</v>
      </c>
    </row>
    <row r="499" spans="1:15" x14ac:dyDescent="0.3">
      <c r="A499" s="6" t="s">
        <v>1002</v>
      </c>
      <c r="B499" s="7" t="s">
        <v>434</v>
      </c>
      <c r="C499" s="6" t="s">
        <v>12</v>
      </c>
      <c r="D499" s="2" t="str">
        <f t="shared" si="35"/>
        <v>Feb</v>
      </c>
      <c r="E499" s="25" t="s">
        <v>30</v>
      </c>
      <c r="F499" s="21" t="s">
        <v>66</v>
      </c>
      <c r="G499" s="21" t="s">
        <v>23</v>
      </c>
      <c r="H499" s="21" t="s">
        <v>470</v>
      </c>
      <c r="I499" s="8">
        <v>100000</v>
      </c>
      <c r="J499" s="8">
        <v>100000</v>
      </c>
      <c r="K499" s="5" t="s">
        <v>17</v>
      </c>
      <c r="L499">
        <f t="shared" si="36"/>
        <v>3</v>
      </c>
      <c r="M499">
        <f t="shared" ca="1" si="39"/>
        <v>18</v>
      </c>
      <c r="N499" s="15">
        <f t="shared" si="37"/>
        <v>0</v>
      </c>
      <c r="O499" t="str">
        <f t="shared" ca="1" si="38"/>
        <v>0-30 Days</v>
      </c>
    </row>
    <row r="500" spans="1:15" x14ac:dyDescent="0.3">
      <c r="A500" s="2" t="s">
        <v>1003</v>
      </c>
      <c r="B500" s="3" t="s">
        <v>78</v>
      </c>
      <c r="C500" s="2" t="s">
        <v>33</v>
      </c>
      <c r="D500" s="2" t="str">
        <f t="shared" si="35"/>
        <v>Feb</v>
      </c>
      <c r="E500" s="24" t="s">
        <v>649</v>
      </c>
      <c r="F500" s="20" t="s">
        <v>30</v>
      </c>
      <c r="G500" s="20" t="s">
        <v>217</v>
      </c>
      <c r="H500" s="20"/>
      <c r="I500" s="4">
        <v>12000</v>
      </c>
      <c r="J500" s="4">
        <v>0</v>
      </c>
      <c r="K500" s="11" t="s">
        <v>63</v>
      </c>
      <c r="L500">
        <f t="shared" si="36"/>
        <v>2</v>
      </c>
      <c r="M500">
        <f t="shared" ca="1" si="39"/>
        <v>491</v>
      </c>
      <c r="N500" s="15">
        <f t="shared" si="37"/>
        <v>12000</v>
      </c>
      <c r="O500" t="str">
        <f t="shared" ca="1" si="38"/>
        <v>90+ Days</v>
      </c>
    </row>
    <row r="501" spans="1:15" x14ac:dyDescent="0.3">
      <c r="A501" s="6" t="s">
        <v>1004</v>
      </c>
      <c r="B501" s="7" t="s">
        <v>497</v>
      </c>
      <c r="C501" s="6" t="s">
        <v>33</v>
      </c>
      <c r="D501" s="2" t="str">
        <f t="shared" si="35"/>
        <v>Jan</v>
      </c>
      <c r="E501" s="25" t="s">
        <v>27</v>
      </c>
      <c r="F501" s="21" t="s">
        <v>1005</v>
      </c>
      <c r="G501" s="21" t="s">
        <v>248</v>
      </c>
      <c r="H501" s="21"/>
      <c r="I501" s="8">
        <v>50000</v>
      </c>
      <c r="J501" s="8">
        <v>0</v>
      </c>
      <c r="K501" s="12" t="s">
        <v>71</v>
      </c>
      <c r="L501">
        <f t="shared" si="36"/>
        <v>3</v>
      </c>
      <c r="M501">
        <f t="shared" ca="1" si="39"/>
        <v>513</v>
      </c>
      <c r="N501" s="15">
        <f t="shared" si="37"/>
        <v>50000</v>
      </c>
      <c r="O501" t="str">
        <f t="shared" ca="1" si="38"/>
        <v>90+ Days</v>
      </c>
    </row>
    <row r="502" spans="1:15" x14ac:dyDescent="0.3">
      <c r="A502" s="2" t="s">
        <v>1006</v>
      </c>
      <c r="B502" s="3" t="s">
        <v>420</v>
      </c>
      <c r="C502" s="2" t="s">
        <v>12</v>
      </c>
      <c r="D502" s="2" t="str">
        <f t="shared" si="35"/>
        <v>Sep</v>
      </c>
      <c r="E502" s="24" t="s">
        <v>484</v>
      </c>
      <c r="F502" s="20" t="s">
        <v>131</v>
      </c>
      <c r="G502" s="20" t="s">
        <v>244</v>
      </c>
      <c r="H502" s="20" t="s">
        <v>307</v>
      </c>
      <c r="I502" s="4">
        <v>100000</v>
      </c>
      <c r="J502" s="4">
        <v>100000</v>
      </c>
      <c r="K502" s="9" t="s">
        <v>45</v>
      </c>
      <c r="L502">
        <f t="shared" si="36"/>
        <v>1</v>
      </c>
      <c r="M502">
        <f t="shared" ca="1" si="39"/>
        <v>43</v>
      </c>
      <c r="N502" s="15">
        <f t="shared" si="37"/>
        <v>0</v>
      </c>
      <c r="O502" t="str">
        <f t="shared" ca="1" si="38"/>
        <v>31-60 Days</v>
      </c>
    </row>
    <row r="503" spans="1:15" x14ac:dyDescent="0.3">
      <c r="A503" s="6" t="s">
        <v>1007</v>
      </c>
      <c r="B503" s="7" t="s">
        <v>361</v>
      </c>
      <c r="C503" s="6" t="s">
        <v>12</v>
      </c>
      <c r="D503" s="2" t="str">
        <f t="shared" si="35"/>
        <v>Apr</v>
      </c>
      <c r="E503" s="25" t="s">
        <v>238</v>
      </c>
      <c r="F503" s="21" t="s">
        <v>222</v>
      </c>
      <c r="G503" s="21" t="s">
        <v>223</v>
      </c>
      <c r="H503" s="21" t="s">
        <v>383</v>
      </c>
      <c r="I503" s="8">
        <v>12000</v>
      </c>
      <c r="J503" s="8">
        <v>12000</v>
      </c>
      <c r="K503" s="5" t="s">
        <v>17</v>
      </c>
      <c r="L503">
        <f t="shared" si="36"/>
        <v>3</v>
      </c>
      <c r="M503">
        <f t="shared" ca="1" si="39"/>
        <v>24</v>
      </c>
      <c r="N503" s="15">
        <f t="shared" si="37"/>
        <v>0</v>
      </c>
      <c r="O503" t="str">
        <f t="shared" ca="1" si="38"/>
        <v>0-30 Days</v>
      </c>
    </row>
    <row r="504" spans="1:15" x14ac:dyDescent="0.3">
      <c r="A504" s="2" t="s">
        <v>1008</v>
      </c>
      <c r="B504" s="3" t="s">
        <v>378</v>
      </c>
      <c r="C504" s="2" t="s">
        <v>12</v>
      </c>
      <c r="D504" s="2" t="str">
        <f t="shared" si="35"/>
        <v>May</v>
      </c>
      <c r="E504" s="24" t="s">
        <v>591</v>
      </c>
      <c r="F504" s="20" t="s">
        <v>559</v>
      </c>
      <c r="G504" s="20" t="s">
        <v>396</v>
      </c>
      <c r="H504" s="20" t="s">
        <v>110</v>
      </c>
      <c r="I504" s="4">
        <v>10000</v>
      </c>
      <c r="J504" s="4">
        <v>10000</v>
      </c>
      <c r="K504" s="5" t="s">
        <v>17</v>
      </c>
      <c r="L504">
        <f t="shared" si="36"/>
        <v>3</v>
      </c>
      <c r="M504">
        <f t="shared" ca="1" si="39"/>
        <v>9</v>
      </c>
      <c r="N504" s="15">
        <f t="shared" si="37"/>
        <v>0</v>
      </c>
      <c r="O504" t="str">
        <f t="shared" ca="1" si="38"/>
        <v>0-30 Days</v>
      </c>
    </row>
    <row r="505" spans="1:15" x14ac:dyDescent="0.3">
      <c r="A505" s="6" t="s">
        <v>1009</v>
      </c>
      <c r="B505" s="7" t="s">
        <v>65</v>
      </c>
      <c r="C505" s="6" t="s">
        <v>12</v>
      </c>
      <c r="D505" s="2" t="str">
        <f t="shared" si="35"/>
        <v>Dec</v>
      </c>
      <c r="E505" s="25" t="s">
        <v>653</v>
      </c>
      <c r="F505" s="21" t="s">
        <v>302</v>
      </c>
      <c r="G505" s="21" t="s">
        <v>922</v>
      </c>
      <c r="H505" s="21"/>
      <c r="I505" s="8">
        <v>20000</v>
      </c>
      <c r="J505" s="8">
        <v>0</v>
      </c>
      <c r="K505" s="12" t="s">
        <v>71</v>
      </c>
      <c r="L505">
        <f t="shared" si="36"/>
        <v>3</v>
      </c>
      <c r="M505">
        <f t="shared" ca="1" si="39"/>
        <v>164</v>
      </c>
      <c r="N505" s="15">
        <f t="shared" si="37"/>
        <v>20000</v>
      </c>
      <c r="O505" t="str">
        <f t="shared" ca="1" si="38"/>
        <v>90+ Days</v>
      </c>
    </row>
    <row r="506" spans="1:15" x14ac:dyDescent="0.3">
      <c r="A506" s="2" t="s">
        <v>1010</v>
      </c>
      <c r="B506" s="3" t="s">
        <v>431</v>
      </c>
      <c r="C506" s="2" t="s">
        <v>12</v>
      </c>
      <c r="D506" s="2" t="str">
        <f t="shared" si="35"/>
        <v>Jul</v>
      </c>
      <c r="E506" s="24" t="s">
        <v>44</v>
      </c>
      <c r="F506" s="20" t="s">
        <v>55</v>
      </c>
      <c r="G506" s="20" t="s">
        <v>56</v>
      </c>
      <c r="H506" s="20" t="s">
        <v>443</v>
      </c>
      <c r="I506" s="4">
        <v>10000</v>
      </c>
      <c r="J506" s="4">
        <v>10000</v>
      </c>
      <c r="K506" s="5" t="s">
        <v>17</v>
      </c>
      <c r="L506">
        <f t="shared" si="36"/>
        <v>1</v>
      </c>
      <c r="M506">
        <f t="shared" ca="1" si="39"/>
        <v>14</v>
      </c>
      <c r="N506" s="15">
        <f t="shared" si="37"/>
        <v>0</v>
      </c>
      <c r="O506" t="str">
        <f t="shared" ca="1" si="38"/>
        <v>0-30 Days</v>
      </c>
    </row>
    <row r="507" spans="1:15" x14ac:dyDescent="0.3">
      <c r="A507" s="6" t="s">
        <v>1011</v>
      </c>
      <c r="B507" s="7" t="s">
        <v>242</v>
      </c>
      <c r="C507" s="6" t="s">
        <v>12</v>
      </c>
      <c r="D507" s="2" t="str">
        <f t="shared" si="35"/>
        <v>Jul</v>
      </c>
      <c r="E507" s="25" t="s">
        <v>44</v>
      </c>
      <c r="F507" s="21" t="s">
        <v>634</v>
      </c>
      <c r="G507" s="21" t="s">
        <v>635</v>
      </c>
      <c r="H507" s="21" t="s">
        <v>345</v>
      </c>
      <c r="I507" s="8">
        <v>15000</v>
      </c>
      <c r="J507" s="8">
        <v>15000</v>
      </c>
      <c r="K507" s="5" t="s">
        <v>17</v>
      </c>
      <c r="L507">
        <f t="shared" si="36"/>
        <v>2</v>
      </c>
      <c r="M507">
        <f t="shared" ca="1" si="39"/>
        <v>10</v>
      </c>
      <c r="N507" s="15">
        <f t="shared" si="37"/>
        <v>0</v>
      </c>
      <c r="O507" t="str">
        <f t="shared" ca="1" si="38"/>
        <v>0-30 Days</v>
      </c>
    </row>
    <row r="508" spans="1:15" x14ac:dyDescent="0.3">
      <c r="A508" s="2" t="s">
        <v>1012</v>
      </c>
      <c r="B508" s="3" t="s">
        <v>361</v>
      </c>
      <c r="C508" s="2" t="s">
        <v>12</v>
      </c>
      <c r="D508" s="2" t="str">
        <f t="shared" si="35"/>
        <v>Aug</v>
      </c>
      <c r="E508" s="24" t="s">
        <v>321</v>
      </c>
      <c r="F508" s="20" t="s">
        <v>156</v>
      </c>
      <c r="G508" s="20" t="s">
        <v>535</v>
      </c>
      <c r="H508" s="20" t="s">
        <v>342</v>
      </c>
      <c r="I508" s="4">
        <v>55000</v>
      </c>
      <c r="J508" s="4">
        <v>55000</v>
      </c>
      <c r="K508" s="5" t="s">
        <v>17</v>
      </c>
      <c r="L508">
        <f t="shared" si="36"/>
        <v>3</v>
      </c>
      <c r="M508">
        <f t="shared" ca="1" si="39"/>
        <v>8</v>
      </c>
      <c r="N508" s="15">
        <f t="shared" si="37"/>
        <v>0</v>
      </c>
      <c r="O508" t="str">
        <f t="shared" ca="1" si="38"/>
        <v>0-30 Days</v>
      </c>
    </row>
    <row r="509" spans="1:15" x14ac:dyDescent="0.3">
      <c r="A509" s="6" t="s">
        <v>1013</v>
      </c>
      <c r="B509" s="7" t="s">
        <v>32</v>
      </c>
      <c r="C509" s="6" t="s">
        <v>33</v>
      </c>
      <c r="D509" s="2" t="str">
        <f t="shared" si="35"/>
        <v>Feb</v>
      </c>
      <c r="E509" s="25" t="s">
        <v>358</v>
      </c>
      <c r="F509" s="21" t="s">
        <v>247</v>
      </c>
      <c r="G509" s="21" t="s">
        <v>725</v>
      </c>
      <c r="H509" s="21" t="s">
        <v>771</v>
      </c>
      <c r="I509" s="8">
        <v>55000</v>
      </c>
      <c r="J509" s="8">
        <v>55000</v>
      </c>
      <c r="K509" s="5" t="s">
        <v>17</v>
      </c>
      <c r="L509">
        <f t="shared" si="36"/>
        <v>2</v>
      </c>
      <c r="M509">
        <f t="shared" ca="1" si="39"/>
        <v>24</v>
      </c>
      <c r="N509" s="15">
        <f t="shared" si="37"/>
        <v>0</v>
      </c>
      <c r="O509" t="str">
        <f t="shared" ca="1" si="38"/>
        <v>0-30 Days</v>
      </c>
    </row>
    <row r="510" spans="1:15" x14ac:dyDescent="0.3">
      <c r="A510" s="2" t="s">
        <v>1014</v>
      </c>
      <c r="B510" s="3" t="s">
        <v>258</v>
      </c>
      <c r="C510" s="2" t="s">
        <v>33</v>
      </c>
      <c r="D510" s="2" t="str">
        <f t="shared" si="35"/>
        <v>Jun</v>
      </c>
      <c r="E510" s="24" t="s">
        <v>294</v>
      </c>
      <c r="F510" s="20" t="s">
        <v>111</v>
      </c>
      <c r="G510" s="20" t="s">
        <v>625</v>
      </c>
      <c r="H510" s="20" t="s">
        <v>55</v>
      </c>
      <c r="I510" s="4">
        <v>5000</v>
      </c>
      <c r="J510" s="4">
        <v>5000</v>
      </c>
      <c r="K510" s="5" t="s">
        <v>17</v>
      </c>
      <c r="L510">
        <f t="shared" si="36"/>
        <v>2</v>
      </c>
      <c r="M510">
        <f t="shared" ca="1" si="39"/>
        <v>17</v>
      </c>
      <c r="N510" s="15">
        <f t="shared" si="37"/>
        <v>0</v>
      </c>
      <c r="O510" t="str">
        <f t="shared" ca="1" si="38"/>
        <v>0-30 Days</v>
      </c>
    </row>
    <row r="511" spans="1:15" x14ac:dyDescent="0.3">
      <c r="A511" s="6" t="s">
        <v>1015</v>
      </c>
      <c r="B511" s="7" t="s">
        <v>718</v>
      </c>
      <c r="C511" s="6" t="s">
        <v>12</v>
      </c>
      <c r="D511" s="2" t="str">
        <f t="shared" si="35"/>
        <v>Feb</v>
      </c>
      <c r="E511" s="25" t="s">
        <v>66</v>
      </c>
      <c r="F511" s="21" t="s">
        <v>29</v>
      </c>
      <c r="G511" s="21" t="s">
        <v>181</v>
      </c>
      <c r="H511" s="21" t="s">
        <v>681</v>
      </c>
      <c r="I511" s="8">
        <v>55000</v>
      </c>
      <c r="J511" s="8">
        <v>41250</v>
      </c>
      <c r="K511" s="13" t="s">
        <v>113</v>
      </c>
      <c r="L511">
        <f t="shared" si="36"/>
        <v>3</v>
      </c>
      <c r="M511">
        <f t="shared" ca="1" si="39"/>
        <v>20</v>
      </c>
      <c r="N511" s="15">
        <f t="shared" si="37"/>
        <v>13750</v>
      </c>
      <c r="O511" t="str">
        <f t="shared" ca="1" si="38"/>
        <v>0-30 Days</v>
      </c>
    </row>
    <row r="512" spans="1:15" x14ac:dyDescent="0.3">
      <c r="A512" s="2" t="s">
        <v>1016</v>
      </c>
      <c r="B512" s="3" t="s">
        <v>487</v>
      </c>
      <c r="C512" s="2" t="s">
        <v>33</v>
      </c>
      <c r="D512" s="2" t="str">
        <f t="shared" si="35"/>
        <v>Mar</v>
      </c>
      <c r="E512" s="24" t="s">
        <v>451</v>
      </c>
      <c r="F512" s="20" t="s">
        <v>381</v>
      </c>
      <c r="G512" s="20" t="s">
        <v>1017</v>
      </c>
      <c r="H512" s="20" t="s">
        <v>240</v>
      </c>
      <c r="I512" s="4">
        <v>12000</v>
      </c>
      <c r="J512" s="4">
        <v>12000</v>
      </c>
      <c r="K512" s="5" t="s">
        <v>17</v>
      </c>
      <c r="L512">
        <f t="shared" si="36"/>
        <v>3</v>
      </c>
      <c r="M512">
        <f t="shared" ca="1" si="39"/>
        <v>13</v>
      </c>
      <c r="N512" s="15">
        <f t="shared" si="37"/>
        <v>0</v>
      </c>
      <c r="O512" t="str">
        <f t="shared" ca="1" si="38"/>
        <v>0-30 Days</v>
      </c>
    </row>
    <row r="513" spans="1:15" x14ac:dyDescent="0.3">
      <c r="A513" s="6" t="s">
        <v>1018</v>
      </c>
      <c r="B513" s="7" t="s">
        <v>165</v>
      </c>
      <c r="C513" s="6" t="s">
        <v>26</v>
      </c>
      <c r="D513" s="2" t="str">
        <f t="shared" si="35"/>
        <v>May</v>
      </c>
      <c r="E513" s="25" t="s">
        <v>109</v>
      </c>
      <c r="F513" s="21" t="s">
        <v>152</v>
      </c>
      <c r="G513" s="21" t="s">
        <v>153</v>
      </c>
      <c r="H513" s="21" t="s">
        <v>154</v>
      </c>
      <c r="I513" s="8">
        <v>20000</v>
      </c>
      <c r="J513" s="8">
        <v>20000</v>
      </c>
      <c r="K513" s="5" t="s">
        <v>17</v>
      </c>
      <c r="L513">
        <f t="shared" si="36"/>
        <v>2</v>
      </c>
      <c r="M513">
        <f t="shared" ca="1" si="39"/>
        <v>18</v>
      </c>
      <c r="N513" s="15">
        <f t="shared" si="37"/>
        <v>0</v>
      </c>
      <c r="O513" t="str">
        <f t="shared" ca="1" si="38"/>
        <v>0-30 Days</v>
      </c>
    </row>
    <row r="514" spans="1:15" x14ac:dyDescent="0.3">
      <c r="A514" s="2" t="s">
        <v>1019</v>
      </c>
      <c r="B514" s="3" t="s">
        <v>47</v>
      </c>
      <c r="C514" s="2" t="s">
        <v>40</v>
      </c>
      <c r="D514" s="2" t="str">
        <f t="shared" si="35"/>
        <v>Aug</v>
      </c>
      <c r="E514" s="24" t="s">
        <v>56</v>
      </c>
      <c r="F514" s="20" t="s">
        <v>820</v>
      </c>
      <c r="G514" s="20" t="s">
        <v>670</v>
      </c>
      <c r="H514" s="20"/>
      <c r="I514" s="4">
        <v>35000</v>
      </c>
      <c r="J514" s="4">
        <v>0</v>
      </c>
      <c r="K514" s="12" t="s">
        <v>71</v>
      </c>
      <c r="L514">
        <f t="shared" si="36"/>
        <v>2</v>
      </c>
      <c r="M514">
        <f t="shared" ca="1" si="39"/>
        <v>314</v>
      </c>
      <c r="N514" s="15">
        <f t="shared" si="37"/>
        <v>35000</v>
      </c>
      <c r="O514" t="str">
        <f t="shared" ca="1" si="38"/>
        <v>90+ Days</v>
      </c>
    </row>
    <row r="515" spans="1:15" x14ac:dyDescent="0.3">
      <c r="A515" s="6" t="s">
        <v>1020</v>
      </c>
      <c r="B515" s="7" t="s">
        <v>176</v>
      </c>
      <c r="C515" s="6" t="s">
        <v>12</v>
      </c>
      <c r="D515" s="2" t="str">
        <f t="shared" ref="D515:D578" si="40">MID(E515, 4, 3)</f>
        <v>May</v>
      </c>
      <c r="E515" s="25" t="s">
        <v>223</v>
      </c>
      <c r="F515" s="21" t="s">
        <v>559</v>
      </c>
      <c r="G515" s="21" t="s">
        <v>396</v>
      </c>
      <c r="H515" s="21" t="s">
        <v>294</v>
      </c>
      <c r="I515" s="8">
        <v>35000</v>
      </c>
      <c r="J515" s="8">
        <v>35000</v>
      </c>
      <c r="K515" s="9" t="s">
        <v>45</v>
      </c>
      <c r="L515">
        <f t="shared" ref="L515:L578" si="41">F515-E515</f>
        <v>1</v>
      </c>
      <c r="M515">
        <f t="shared" ca="1" si="39"/>
        <v>37</v>
      </c>
      <c r="N515" s="15">
        <f t="shared" ref="N515:N578" si="42">I515-J515</f>
        <v>0</v>
      </c>
      <c r="O515" t="str">
        <f t="shared" ref="O515:O578" ca="1" si="43">IF(M515&lt;=30,"0-30 Days",
IF(M515&lt;=60,"31-60 Days",
IF(M515&lt;=90,"61-90 Days","90+ Days")))</f>
        <v>31-60 Days</v>
      </c>
    </row>
    <row r="516" spans="1:15" x14ac:dyDescent="0.3">
      <c r="A516" s="2" t="s">
        <v>1021</v>
      </c>
      <c r="B516" s="3" t="s">
        <v>716</v>
      </c>
      <c r="C516" s="2" t="s">
        <v>12</v>
      </c>
      <c r="D516" s="2" t="str">
        <f t="shared" si="40"/>
        <v>Feb</v>
      </c>
      <c r="E516" s="24" t="s">
        <v>606</v>
      </c>
      <c r="F516" s="20" t="s">
        <v>21</v>
      </c>
      <c r="G516" s="20" t="s">
        <v>22</v>
      </c>
      <c r="H516" s="20" t="s">
        <v>202</v>
      </c>
      <c r="I516" s="4">
        <v>60000</v>
      </c>
      <c r="J516" s="4">
        <v>60000</v>
      </c>
      <c r="K516" s="5" t="s">
        <v>17</v>
      </c>
      <c r="L516">
        <f t="shared" si="41"/>
        <v>1</v>
      </c>
      <c r="M516">
        <f t="shared" ref="M516:M579" ca="1" si="44">IF(H516="",TODAY()-F516,H516-F516)</f>
        <v>17</v>
      </c>
      <c r="N516" s="15">
        <f t="shared" si="42"/>
        <v>0</v>
      </c>
      <c r="O516" t="str">
        <f t="shared" ca="1" si="43"/>
        <v>0-30 Days</v>
      </c>
    </row>
    <row r="517" spans="1:15" x14ac:dyDescent="0.3">
      <c r="A517" s="6" t="s">
        <v>1022</v>
      </c>
      <c r="B517" s="7" t="s">
        <v>339</v>
      </c>
      <c r="C517" s="6" t="s">
        <v>12</v>
      </c>
      <c r="D517" s="2" t="str">
        <f t="shared" si="40"/>
        <v>Nov</v>
      </c>
      <c r="E517" s="25" t="s">
        <v>260</v>
      </c>
      <c r="F517" s="21" t="s">
        <v>373</v>
      </c>
      <c r="G517" s="21" t="s">
        <v>409</v>
      </c>
      <c r="H517" s="21" t="s">
        <v>141</v>
      </c>
      <c r="I517" s="8">
        <v>75000</v>
      </c>
      <c r="J517" s="8">
        <v>75000</v>
      </c>
      <c r="K517" s="5" t="s">
        <v>17</v>
      </c>
      <c r="L517">
        <f t="shared" si="41"/>
        <v>2</v>
      </c>
      <c r="M517">
        <f t="shared" ca="1" si="44"/>
        <v>18</v>
      </c>
      <c r="N517" s="15">
        <f t="shared" si="42"/>
        <v>0</v>
      </c>
      <c r="O517" t="str">
        <f t="shared" ca="1" si="43"/>
        <v>0-30 Days</v>
      </c>
    </row>
    <row r="518" spans="1:15" x14ac:dyDescent="0.3">
      <c r="A518" s="2" t="s">
        <v>1023</v>
      </c>
      <c r="B518" s="3" t="s">
        <v>115</v>
      </c>
      <c r="C518" s="2" t="s">
        <v>12</v>
      </c>
      <c r="D518" s="2" t="str">
        <f t="shared" si="40"/>
        <v>Nov</v>
      </c>
      <c r="E518" s="24" t="s">
        <v>269</v>
      </c>
      <c r="F518" s="20" t="s">
        <v>140</v>
      </c>
      <c r="G518" s="20" t="s">
        <v>270</v>
      </c>
      <c r="H518" s="20" t="s">
        <v>92</v>
      </c>
      <c r="I518" s="4">
        <v>60000</v>
      </c>
      <c r="J518" s="4">
        <v>60000</v>
      </c>
      <c r="K518" s="5" t="s">
        <v>17</v>
      </c>
      <c r="L518">
        <f t="shared" si="41"/>
        <v>1</v>
      </c>
      <c r="M518">
        <f t="shared" ca="1" si="44"/>
        <v>27</v>
      </c>
      <c r="N518" s="15">
        <f t="shared" si="42"/>
        <v>0</v>
      </c>
      <c r="O518" t="str">
        <f t="shared" ca="1" si="43"/>
        <v>0-30 Days</v>
      </c>
    </row>
    <row r="519" spans="1:15" x14ac:dyDescent="0.3">
      <c r="A519" s="6" t="s">
        <v>1024</v>
      </c>
      <c r="B519" s="7" t="s">
        <v>780</v>
      </c>
      <c r="C519" s="6" t="s">
        <v>26</v>
      </c>
      <c r="D519" s="2" t="str">
        <f t="shared" si="40"/>
        <v>Sep</v>
      </c>
      <c r="E519" s="25" t="s">
        <v>542</v>
      </c>
      <c r="F519" s="21" t="s">
        <v>670</v>
      </c>
      <c r="G519" s="21" t="s">
        <v>432</v>
      </c>
      <c r="H519" s="21"/>
      <c r="I519" s="8">
        <v>25000</v>
      </c>
      <c r="J519" s="8">
        <v>0</v>
      </c>
      <c r="K519" s="11" t="s">
        <v>63</v>
      </c>
      <c r="L519">
        <f t="shared" si="41"/>
        <v>2</v>
      </c>
      <c r="M519">
        <f t="shared" ca="1" si="44"/>
        <v>284</v>
      </c>
      <c r="N519" s="15">
        <f t="shared" si="42"/>
        <v>25000</v>
      </c>
      <c r="O519" t="str">
        <f t="shared" ca="1" si="43"/>
        <v>90+ Days</v>
      </c>
    </row>
    <row r="520" spans="1:15" x14ac:dyDescent="0.3">
      <c r="A520" s="2" t="s">
        <v>1025</v>
      </c>
      <c r="B520" s="3" t="s">
        <v>431</v>
      </c>
      <c r="C520" s="2" t="s">
        <v>12</v>
      </c>
      <c r="D520" s="2" t="str">
        <f t="shared" si="40"/>
        <v>May</v>
      </c>
      <c r="E520" s="24" t="s">
        <v>522</v>
      </c>
      <c r="F520" s="20" t="s">
        <v>517</v>
      </c>
      <c r="G520" s="20" t="s">
        <v>354</v>
      </c>
      <c r="H520" s="20"/>
      <c r="I520" s="4">
        <v>35000</v>
      </c>
      <c r="J520" s="4">
        <v>0</v>
      </c>
      <c r="K520" s="11" t="s">
        <v>63</v>
      </c>
      <c r="L520">
        <f t="shared" si="41"/>
        <v>3</v>
      </c>
      <c r="M520">
        <f t="shared" ca="1" si="44"/>
        <v>379</v>
      </c>
      <c r="N520" s="15">
        <f t="shared" si="42"/>
        <v>35000</v>
      </c>
      <c r="O520" t="str">
        <f t="shared" ca="1" si="43"/>
        <v>90+ Days</v>
      </c>
    </row>
    <row r="521" spans="1:15" x14ac:dyDescent="0.3">
      <c r="A521" s="6" t="s">
        <v>1026</v>
      </c>
      <c r="B521" s="7" t="s">
        <v>258</v>
      </c>
      <c r="C521" s="6" t="s">
        <v>33</v>
      </c>
      <c r="D521" s="2" t="str">
        <f t="shared" si="40"/>
        <v>May</v>
      </c>
      <c r="E521" s="25" t="s">
        <v>163</v>
      </c>
      <c r="F521" s="21" t="s">
        <v>591</v>
      </c>
      <c r="G521" s="21" t="s">
        <v>295</v>
      </c>
      <c r="H521" s="21" t="s">
        <v>42</v>
      </c>
      <c r="I521" s="8">
        <v>12000</v>
      </c>
      <c r="J521" s="8">
        <v>12000</v>
      </c>
      <c r="K521" s="5" t="s">
        <v>17</v>
      </c>
      <c r="L521">
        <f t="shared" si="41"/>
        <v>2</v>
      </c>
      <c r="M521">
        <f t="shared" ca="1" si="44"/>
        <v>17</v>
      </c>
      <c r="N521" s="15">
        <f t="shared" si="42"/>
        <v>0</v>
      </c>
      <c r="O521" t="str">
        <f t="shared" ca="1" si="43"/>
        <v>0-30 Days</v>
      </c>
    </row>
    <row r="522" spans="1:15" x14ac:dyDescent="0.3">
      <c r="A522" s="2" t="s">
        <v>1027</v>
      </c>
      <c r="B522" s="3" t="s">
        <v>176</v>
      </c>
      <c r="C522" s="2" t="s">
        <v>12</v>
      </c>
      <c r="D522" s="2" t="str">
        <f t="shared" si="40"/>
        <v>Feb</v>
      </c>
      <c r="E522" s="24" t="s">
        <v>14</v>
      </c>
      <c r="F522" s="20" t="s">
        <v>470</v>
      </c>
      <c r="G522" s="20" t="s">
        <v>161</v>
      </c>
      <c r="H522" s="20" t="s">
        <v>539</v>
      </c>
      <c r="I522" s="4">
        <v>30000</v>
      </c>
      <c r="J522" s="4">
        <v>30000</v>
      </c>
      <c r="K522" s="9" t="s">
        <v>45</v>
      </c>
      <c r="L522">
        <f t="shared" si="41"/>
        <v>3</v>
      </c>
      <c r="M522">
        <f t="shared" ca="1" si="44"/>
        <v>48</v>
      </c>
      <c r="N522" s="15">
        <f t="shared" si="42"/>
        <v>0</v>
      </c>
      <c r="O522" t="str">
        <f t="shared" ca="1" si="43"/>
        <v>31-60 Days</v>
      </c>
    </row>
    <row r="523" spans="1:15" x14ac:dyDescent="0.3">
      <c r="A523" s="6" t="s">
        <v>1028</v>
      </c>
      <c r="B523" s="7" t="s">
        <v>822</v>
      </c>
      <c r="C523" s="6" t="s">
        <v>26</v>
      </c>
      <c r="D523" s="2" t="str">
        <f t="shared" si="40"/>
        <v>Dec</v>
      </c>
      <c r="E523" s="25" t="s">
        <v>409</v>
      </c>
      <c r="F523" s="21" t="s">
        <v>98</v>
      </c>
      <c r="G523" s="21" t="s">
        <v>530</v>
      </c>
      <c r="H523" s="21"/>
      <c r="I523" s="8">
        <v>5000</v>
      </c>
      <c r="J523" s="8">
        <v>0</v>
      </c>
      <c r="K523" s="11" t="s">
        <v>63</v>
      </c>
      <c r="L523">
        <f t="shared" si="41"/>
        <v>3</v>
      </c>
      <c r="M523">
        <f t="shared" ca="1" si="44"/>
        <v>179</v>
      </c>
      <c r="N523" s="15">
        <f t="shared" si="42"/>
        <v>5000</v>
      </c>
      <c r="O523" t="str">
        <f t="shared" ca="1" si="43"/>
        <v>90+ Days</v>
      </c>
    </row>
    <row r="524" spans="1:15" x14ac:dyDescent="0.3">
      <c r="A524" s="2" t="s">
        <v>1029</v>
      </c>
      <c r="B524" s="3" t="s">
        <v>489</v>
      </c>
      <c r="C524" s="2" t="s">
        <v>40</v>
      </c>
      <c r="D524" s="2" t="str">
        <f t="shared" si="40"/>
        <v>Dec</v>
      </c>
      <c r="E524" s="24" t="s">
        <v>93</v>
      </c>
      <c r="F524" s="20" t="s">
        <v>390</v>
      </c>
      <c r="G524" s="20" t="s">
        <v>545</v>
      </c>
      <c r="H524" s="20"/>
      <c r="I524" s="4">
        <v>22000</v>
      </c>
      <c r="J524" s="4">
        <v>0</v>
      </c>
      <c r="K524" s="12" t="s">
        <v>71</v>
      </c>
      <c r="L524">
        <f t="shared" si="41"/>
        <v>1</v>
      </c>
      <c r="M524">
        <f t="shared" ca="1" si="44"/>
        <v>168</v>
      </c>
      <c r="N524" s="15">
        <f t="shared" si="42"/>
        <v>22000</v>
      </c>
      <c r="O524" t="str">
        <f t="shared" ca="1" si="43"/>
        <v>90+ Days</v>
      </c>
    </row>
    <row r="525" spans="1:15" x14ac:dyDescent="0.3">
      <c r="A525" s="6" t="s">
        <v>1030</v>
      </c>
      <c r="B525" s="7" t="s">
        <v>434</v>
      </c>
      <c r="C525" s="6" t="s">
        <v>12</v>
      </c>
      <c r="D525" s="2" t="str">
        <f t="shared" si="40"/>
        <v>Feb</v>
      </c>
      <c r="E525" s="25" t="s">
        <v>808</v>
      </c>
      <c r="F525" s="21" t="s">
        <v>638</v>
      </c>
      <c r="G525" s="21" t="s">
        <v>16</v>
      </c>
      <c r="H525" s="21" t="s">
        <v>79</v>
      </c>
      <c r="I525" s="8">
        <v>35000</v>
      </c>
      <c r="J525" s="8">
        <v>35000</v>
      </c>
      <c r="K525" s="5" t="s">
        <v>17</v>
      </c>
      <c r="L525">
        <f t="shared" si="41"/>
        <v>2</v>
      </c>
      <c r="M525">
        <f t="shared" ca="1" si="44"/>
        <v>14</v>
      </c>
      <c r="N525" s="15">
        <f t="shared" si="42"/>
        <v>0</v>
      </c>
      <c r="O525" t="str">
        <f t="shared" ca="1" si="43"/>
        <v>0-30 Days</v>
      </c>
    </row>
    <row r="526" spans="1:15" x14ac:dyDescent="0.3">
      <c r="A526" s="2" t="s">
        <v>1031</v>
      </c>
      <c r="B526" s="3" t="s">
        <v>601</v>
      </c>
      <c r="C526" s="2" t="s">
        <v>40</v>
      </c>
      <c r="D526" s="2" t="str">
        <f t="shared" si="40"/>
        <v>May</v>
      </c>
      <c r="E526" s="24" t="s">
        <v>559</v>
      </c>
      <c r="F526" s="20" t="s">
        <v>404</v>
      </c>
      <c r="G526" s="20" t="s">
        <v>746</v>
      </c>
      <c r="H526" s="20"/>
      <c r="I526" s="4">
        <v>20000</v>
      </c>
      <c r="J526" s="4">
        <v>0</v>
      </c>
      <c r="K526" s="12" t="s">
        <v>71</v>
      </c>
      <c r="L526">
        <f t="shared" si="41"/>
        <v>3</v>
      </c>
      <c r="M526">
        <f t="shared" ca="1" si="44"/>
        <v>399</v>
      </c>
      <c r="N526" s="15">
        <f t="shared" si="42"/>
        <v>20000</v>
      </c>
      <c r="O526" t="str">
        <f t="shared" ca="1" si="43"/>
        <v>90+ Days</v>
      </c>
    </row>
    <row r="527" spans="1:15" x14ac:dyDescent="0.3">
      <c r="A527" s="6" t="s">
        <v>1032</v>
      </c>
      <c r="B527" s="7" t="s">
        <v>794</v>
      </c>
      <c r="C527" s="6" t="s">
        <v>12</v>
      </c>
      <c r="D527" s="2" t="str">
        <f t="shared" si="40"/>
        <v>Jul</v>
      </c>
      <c r="E527" s="25" t="s">
        <v>194</v>
      </c>
      <c r="F527" s="21" t="s">
        <v>888</v>
      </c>
      <c r="G527" s="21" t="s">
        <v>730</v>
      </c>
      <c r="H527" s="21"/>
      <c r="I527" s="8">
        <v>22000</v>
      </c>
      <c r="J527" s="8">
        <v>0</v>
      </c>
      <c r="K527" s="11" t="s">
        <v>63</v>
      </c>
      <c r="L527">
        <f t="shared" si="41"/>
        <v>1</v>
      </c>
      <c r="M527">
        <f t="shared" ca="1" si="44"/>
        <v>337</v>
      </c>
      <c r="N527" s="15">
        <f t="shared" si="42"/>
        <v>22000</v>
      </c>
      <c r="O527" t="str">
        <f t="shared" ca="1" si="43"/>
        <v>90+ Days</v>
      </c>
    </row>
    <row r="528" spans="1:15" x14ac:dyDescent="0.3">
      <c r="A528" s="2" t="s">
        <v>1033</v>
      </c>
      <c r="B528" s="3" t="s">
        <v>527</v>
      </c>
      <c r="C528" s="2" t="s">
        <v>12</v>
      </c>
      <c r="D528" s="2" t="str">
        <f t="shared" si="40"/>
        <v>Oct</v>
      </c>
      <c r="E528" s="24" t="s">
        <v>125</v>
      </c>
      <c r="F528" s="20" t="s">
        <v>126</v>
      </c>
      <c r="G528" s="20" t="s">
        <v>127</v>
      </c>
      <c r="H528" s="20" t="s">
        <v>166</v>
      </c>
      <c r="I528" s="4">
        <v>55000</v>
      </c>
      <c r="J528" s="4">
        <v>55000</v>
      </c>
      <c r="K528" s="5" t="s">
        <v>17</v>
      </c>
      <c r="L528">
        <f t="shared" si="41"/>
        <v>2</v>
      </c>
      <c r="M528">
        <f t="shared" ca="1" si="44"/>
        <v>27</v>
      </c>
      <c r="N528" s="15">
        <f t="shared" si="42"/>
        <v>0</v>
      </c>
      <c r="O528" t="str">
        <f t="shared" ca="1" si="43"/>
        <v>0-30 Days</v>
      </c>
    </row>
    <row r="529" spans="1:15" x14ac:dyDescent="0.3">
      <c r="A529" s="6" t="s">
        <v>1034</v>
      </c>
      <c r="B529" s="7" t="s">
        <v>482</v>
      </c>
      <c r="C529" s="6" t="s">
        <v>26</v>
      </c>
      <c r="D529" s="2" t="str">
        <f t="shared" si="40"/>
        <v>Oct</v>
      </c>
      <c r="E529" s="25" t="s">
        <v>647</v>
      </c>
      <c r="F529" s="21" t="s">
        <v>437</v>
      </c>
      <c r="G529" s="21" t="s">
        <v>128</v>
      </c>
      <c r="H529" s="21"/>
      <c r="I529" s="8">
        <v>100000</v>
      </c>
      <c r="J529" s="8">
        <v>0</v>
      </c>
      <c r="K529" s="12" t="s">
        <v>71</v>
      </c>
      <c r="L529">
        <f t="shared" si="41"/>
        <v>1</v>
      </c>
      <c r="M529">
        <f t="shared" ca="1" si="44"/>
        <v>252</v>
      </c>
      <c r="N529" s="15">
        <f t="shared" si="42"/>
        <v>100000</v>
      </c>
      <c r="O529" t="str">
        <f t="shared" ca="1" si="43"/>
        <v>90+ Days</v>
      </c>
    </row>
    <row r="530" spans="1:15" x14ac:dyDescent="0.3">
      <c r="A530" s="2" t="s">
        <v>1035</v>
      </c>
      <c r="B530" s="3" t="s">
        <v>454</v>
      </c>
      <c r="C530" s="2" t="s">
        <v>12</v>
      </c>
      <c r="D530" s="2" t="str">
        <f t="shared" si="40"/>
        <v>Nov</v>
      </c>
      <c r="E530" s="24" t="s">
        <v>269</v>
      </c>
      <c r="F530" s="20" t="s">
        <v>37</v>
      </c>
      <c r="G530" s="20" t="s">
        <v>141</v>
      </c>
      <c r="H530" s="20" t="s">
        <v>373</v>
      </c>
      <c r="I530" s="4">
        <v>10000</v>
      </c>
      <c r="J530" s="4">
        <v>10000</v>
      </c>
      <c r="K530" s="5" t="s">
        <v>17</v>
      </c>
      <c r="L530">
        <f t="shared" si="41"/>
        <v>3</v>
      </c>
      <c r="M530">
        <f t="shared" ca="1" si="44"/>
        <v>12</v>
      </c>
      <c r="N530" s="15">
        <f t="shared" si="42"/>
        <v>0</v>
      </c>
      <c r="O530" t="str">
        <f t="shared" ca="1" si="43"/>
        <v>0-30 Days</v>
      </c>
    </row>
    <row r="531" spans="1:15" x14ac:dyDescent="0.3">
      <c r="A531" s="6" t="s">
        <v>1036</v>
      </c>
      <c r="B531" s="7" t="s">
        <v>277</v>
      </c>
      <c r="C531" s="6" t="s">
        <v>12</v>
      </c>
      <c r="D531" s="2" t="str">
        <f t="shared" si="40"/>
        <v>Dec</v>
      </c>
      <c r="E531" s="25" t="s">
        <v>168</v>
      </c>
      <c r="F531" s="21" t="s">
        <v>281</v>
      </c>
      <c r="G531" s="21" t="s">
        <v>394</v>
      </c>
      <c r="H531" s="21" t="s">
        <v>371</v>
      </c>
      <c r="I531" s="8">
        <v>25000</v>
      </c>
      <c r="J531" s="8">
        <v>25000</v>
      </c>
      <c r="K531" s="9" t="s">
        <v>45</v>
      </c>
      <c r="L531">
        <f t="shared" si="41"/>
        <v>2</v>
      </c>
      <c r="M531">
        <f t="shared" ca="1" si="44"/>
        <v>32</v>
      </c>
      <c r="N531" s="15">
        <f t="shared" si="42"/>
        <v>0</v>
      </c>
      <c r="O531" t="str">
        <f t="shared" ca="1" si="43"/>
        <v>31-60 Days</v>
      </c>
    </row>
    <row r="532" spans="1:15" x14ac:dyDescent="0.3">
      <c r="A532" s="2" t="s">
        <v>1037</v>
      </c>
      <c r="B532" s="3" t="s">
        <v>494</v>
      </c>
      <c r="C532" s="2" t="s">
        <v>12</v>
      </c>
      <c r="D532" s="2" t="str">
        <f t="shared" si="40"/>
        <v>Nov</v>
      </c>
      <c r="E532" s="24" t="s">
        <v>127</v>
      </c>
      <c r="F532" s="20" t="s">
        <v>465</v>
      </c>
      <c r="G532" s="20" t="s">
        <v>390</v>
      </c>
      <c r="H532" s="20"/>
      <c r="I532" s="4">
        <v>12000</v>
      </c>
      <c r="J532" s="4">
        <v>0</v>
      </c>
      <c r="K532" s="11" t="s">
        <v>63</v>
      </c>
      <c r="L532">
        <f t="shared" si="41"/>
        <v>3</v>
      </c>
      <c r="M532">
        <f t="shared" ca="1" si="44"/>
        <v>198</v>
      </c>
      <c r="N532" s="15">
        <f t="shared" si="42"/>
        <v>12000</v>
      </c>
      <c r="O532" t="str">
        <f t="shared" ca="1" si="43"/>
        <v>90+ Days</v>
      </c>
    </row>
    <row r="533" spans="1:15" x14ac:dyDescent="0.3">
      <c r="A533" s="6" t="s">
        <v>1038</v>
      </c>
      <c r="B533" s="7" t="s">
        <v>339</v>
      </c>
      <c r="C533" s="6" t="s">
        <v>12</v>
      </c>
      <c r="D533" s="2" t="str">
        <f t="shared" si="40"/>
        <v>Aug</v>
      </c>
      <c r="E533" s="25" t="s">
        <v>480</v>
      </c>
      <c r="F533" s="21" t="s">
        <v>87</v>
      </c>
      <c r="G533" s="21" t="s">
        <v>484</v>
      </c>
      <c r="H533" s="21" t="s">
        <v>157</v>
      </c>
      <c r="I533" s="8">
        <v>5000</v>
      </c>
      <c r="J533" s="8">
        <v>5000</v>
      </c>
      <c r="K533" s="5" t="s">
        <v>17</v>
      </c>
      <c r="L533">
        <f t="shared" si="41"/>
        <v>1</v>
      </c>
      <c r="M533">
        <f t="shared" ca="1" si="44"/>
        <v>12</v>
      </c>
      <c r="N533" s="15">
        <f t="shared" si="42"/>
        <v>0</v>
      </c>
      <c r="O533" t="str">
        <f t="shared" ca="1" si="43"/>
        <v>0-30 Days</v>
      </c>
    </row>
    <row r="534" spans="1:15" x14ac:dyDescent="0.3">
      <c r="A534" s="2" t="s">
        <v>1039</v>
      </c>
      <c r="B534" s="3" t="s">
        <v>130</v>
      </c>
      <c r="C534" s="2" t="s">
        <v>12</v>
      </c>
      <c r="D534" s="2" t="str">
        <f t="shared" si="40"/>
        <v>Sep</v>
      </c>
      <c r="E534" s="24" t="s">
        <v>599</v>
      </c>
      <c r="F534" s="20" t="s">
        <v>62</v>
      </c>
      <c r="G534" s="20" t="s">
        <v>125</v>
      </c>
      <c r="H534" s="20" t="s">
        <v>694</v>
      </c>
      <c r="I534" s="4">
        <v>40000</v>
      </c>
      <c r="J534" s="4">
        <v>40000</v>
      </c>
      <c r="K534" s="5" t="s">
        <v>17</v>
      </c>
      <c r="L534">
        <f t="shared" si="41"/>
        <v>3</v>
      </c>
      <c r="M534">
        <f t="shared" ca="1" si="44"/>
        <v>17</v>
      </c>
      <c r="N534" s="15">
        <f t="shared" si="42"/>
        <v>0</v>
      </c>
      <c r="O534" t="str">
        <f t="shared" ca="1" si="43"/>
        <v>0-30 Days</v>
      </c>
    </row>
    <row r="535" spans="1:15" x14ac:dyDescent="0.3">
      <c r="A535" s="6" t="s">
        <v>1040</v>
      </c>
      <c r="B535" s="7" t="s">
        <v>489</v>
      </c>
      <c r="C535" s="6" t="s">
        <v>40</v>
      </c>
      <c r="D535" s="2" t="str">
        <f t="shared" si="40"/>
        <v>Dec</v>
      </c>
      <c r="E535" s="25" t="s">
        <v>631</v>
      </c>
      <c r="F535" s="21" t="s">
        <v>573</v>
      </c>
      <c r="G535" s="21" t="s">
        <v>192</v>
      </c>
      <c r="H535" s="21" t="s">
        <v>99</v>
      </c>
      <c r="I535" s="8">
        <v>45000</v>
      </c>
      <c r="J535" s="8">
        <v>45000</v>
      </c>
      <c r="K535" s="5" t="s">
        <v>17</v>
      </c>
      <c r="L535">
        <f t="shared" si="41"/>
        <v>3</v>
      </c>
      <c r="M535">
        <f t="shared" ca="1" si="44"/>
        <v>5</v>
      </c>
      <c r="N535" s="15">
        <f t="shared" si="42"/>
        <v>0</v>
      </c>
      <c r="O535" t="str">
        <f t="shared" ca="1" si="43"/>
        <v>0-30 Days</v>
      </c>
    </row>
    <row r="536" spans="1:15" x14ac:dyDescent="0.3">
      <c r="A536" s="2" t="s">
        <v>1041</v>
      </c>
      <c r="B536" s="3" t="s">
        <v>527</v>
      </c>
      <c r="C536" s="2" t="s">
        <v>12</v>
      </c>
      <c r="D536" s="2" t="str">
        <f t="shared" si="40"/>
        <v>Feb</v>
      </c>
      <c r="E536" s="24" t="s">
        <v>80</v>
      </c>
      <c r="F536" s="20" t="s">
        <v>21</v>
      </c>
      <c r="G536" s="20" t="s">
        <v>22</v>
      </c>
      <c r="H536" s="20" t="s">
        <v>809</v>
      </c>
      <c r="I536" s="4">
        <v>18000</v>
      </c>
      <c r="J536" s="4">
        <v>4500</v>
      </c>
      <c r="K536" s="13" t="s">
        <v>113</v>
      </c>
      <c r="L536">
        <f t="shared" si="41"/>
        <v>2</v>
      </c>
      <c r="M536">
        <f t="shared" ca="1" si="44"/>
        <v>10</v>
      </c>
      <c r="N536" s="15">
        <f t="shared" si="42"/>
        <v>13500</v>
      </c>
      <c r="O536" t="str">
        <f t="shared" ca="1" si="43"/>
        <v>0-30 Days</v>
      </c>
    </row>
    <row r="537" spans="1:15" x14ac:dyDescent="0.3">
      <c r="A537" s="6" t="s">
        <v>1042</v>
      </c>
      <c r="B537" s="7" t="s">
        <v>59</v>
      </c>
      <c r="C537" s="6" t="s">
        <v>12</v>
      </c>
      <c r="D537" s="2" t="str">
        <f t="shared" si="40"/>
        <v>Mar</v>
      </c>
      <c r="E537" s="25" t="s">
        <v>202</v>
      </c>
      <c r="F537" s="21" t="s">
        <v>331</v>
      </c>
      <c r="G537" s="21" t="s">
        <v>576</v>
      </c>
      <c r="H537" s="21" t="s">
        <v>22</v>
      </c>
      <c r="I537" s="8">
        <v>60000</v>
      </c>
      <c r="J537" s="8">
        <v>60000</v>
      </c>
      <c r="K537" s="5" t="s">
        <v>17</v>
      </c>
      <c r="L537">
        <f t="shared" si="41"/>
        <v>2</v>
      </c>
      <c r="M537">
        <f t="shared" ca="1" si="44"/>
        <v>11</v>
      </c>
      <c r="N537" s="15">
        <f t="shared" si="42"/>
        <v>0</v>
      </c>
      <c r="O537" t="str">
        <f t="shared" ca="1" si="43"/>
        <v>0-30 Days</v>
      </c>
    </row>
    <row r="538" spans="1:15" x14ac:dyDescent="0.3">
      <c r="A538" s="2" t="s">
        <v>1043</v>
      </c>
      <c r="B538" s="3" t="s">
        <v>487</v>
      </c>
      <c r="C538" s="2" t="s">
        <v>33</v>
      </c>
      <c r="D538" s="2" t="str">
        <f t="shared" si="40"/>
        <v>Sep</v>
      </c>
      <c r="E538" s="24" t="s">
        <v>670</v>
      </c>
      <c r="F538" s="20" t="s">
        <v>617</v>
      </c>
      <c r="G538" s="20" t="s">
        <v>437</v>
      </c>
      <c r="H538" s="20" t="s">
        <v>432</v>
      </c>
      <c r="I538" s="4">
        <v>35000</v>
      </c>
      <c r="J538" s="4">
        <v>35000</v>
      </c>
      <c r="K538" s="5" t="s">
        <v>17</v>
      </c>
      <c r="L538">
        <f t="shared" si="41"/>
        <v>2</v>
      </c>
      <c r="M538">
        <f t="shared" ca="1" si="44"/>
        <v>28</v>
      </c>
      <c r="N538" s="15">
        <f t="shared" si="42"/>
        <v>0</v>
      </c>
      <c r="O538" t="str">
        <f t="shared" ca="1" si="43"/>
        <v>0-30 Days</v>
      </c>
    </row>
    <row r="539" spans="1:15" x14ac:dyDescent="0.3">
      <c r="A539" s="6" t="s">
        <v>1044</v>
      </c>
      <c r="B539" s="7" t="s">
        <v>553</v>
      </c>
      <c r="C539" s="6" t="s">
        <v>12</v>
      </c>
      <c r="D539" s="2" t="str">
        <f t="shared" si="40"/>
        <v>Aug</v>
      </c>
      <c r="E539" s="25" t="s">
        <v>445</v>
      </c>
      <c r="F539" s="21" t="s">
        <v>157</v>
      </c>
      <c r="G539" s="21" t="s">
        <v>158</v>
      </c>
      <c r="H539" s="21" t="s">
        <v>589</v>
      </c>
      <c r="I539" s="8">
        <v>10000</v>
      </c>
      <c r="J539" s="8">
        <v>10000</v>
      </c>
      <c r="K539" s="5" t="s">
        <v>17</v>
      </c>
      <c r="L539">
        <f t="shared" si="41"/>
        <v>2</v>
      </c>
      <c r="M539">
        <f t="shared" ca="1" si="44"/>
        <v>27</v>
      </c>
      <c r="N539" s="15">
        <f t="shared" si="42"/>
        <v>0</v>
      </c>
      <c r="O539" t="str">
        <f t="shared" ca="1" si="43"/>
        <v>0-30 Days</v>
      </c>
    </row>
    <row r="540" spans="1:15" x14ac:dyDescent="0.3">
      <c r="A540" s="2" t="s">
        <v>1045</v>
      </c>
      <c r="B540" s="3" t="s">
        <v>587</v>
      </c>
      <c r="C540" s="2" t="s">
        <v>26</v>
      </c>
      <c r="D540" s="2" t="str">
        <f t="shared" si="40"/>
        <v>Jan</v>
      </c>
      <c r="E540" s="24" t="s">
        <v>637</v>
      </c>
      <c r="F540" s="20" t="s">
        <v>455</v>
      </c>
      <c r="G540" s="20" t="s">
        <v>66</v>
      </c>
      <c r="H540" s="20" t="s">
        <v>265</v>
      </c>
      <c r="I540" s="4">
        <v>15000</v>
      </c>
      <c r="J540" s="4">
        <v>15000</v>
      </c>
      <c r="K540" s="9" t="s">
        <v>45</v>
      </c>
      <c r="L540">
        <f t="shared" si="41"/>
        <v>2</v>
      </c>
      <c r="M540">
        <f t="shared" ca="1" si="44"/>
        <v>36</v>
      </c>
      <c r="N540" s="15">
        <f t="shared" si="42"/>
        <v>0</v>
      </c>
      <c r="O540" t="str">
        <f t="shared" ca="1" si="43"/>
        <v>31-60 Days</v>
      </c>
    </row>
    <row r="541" spans="1:15" x14ac:dyDescent="0.3">
      <c r="A541" s="6" t="s">
        <v>1046</v>
      </c>
      <c r="B541" s="7" t="s">
        <v>19</v>
      </c>
      <c r="C541" s="6" t="s">
        <v>12</v>
      </c>
      <c r="D541" s="2" t="str">
        <f t="shared" si="40"/>
        <v>May</v>
      </c>
      <c r="E541" s="25" t="s">
        <v>163</v>
      </c>
      <c r="F541" s="21" t="s">
        <v>235</v>
      </c>
      <c r="G541" s="21" t="s">
        <v>154</v>
      </c>
      <c r="H541" s="21" t="s">
        <v>111</v>
      </c>
      <c r="I541" s="8">
        <v>25000</v>
      </c>
      <c r="J541" s="8">
        <v>25000</v>
      </c>
      <c r="K541" s="9" t="s">
        <v>45</v>
      </c>
      <c r="L541">
        <f t="shared" si="41"/>
        <v>3</v>
      </c>
      <c r="M541">
        <f t="shared" ca="1" si="44"/>
        <v>41</v>
      </c>
      <c r="N541" s="15">
        <f t="shared" si="42"/>
        <v>0</v>
      </c>
      <c r="O541" t="str">
        <f t="shared" ca="1" si="43"/>
        <v>31-60 Days</v>
      </c>
    </row>
    <row r="542" spans="1:15" x14ac:dyDescent="0.3">
      <c r="A542" s="2" t="s">
        <v>1047</v>
      </c>
      <c r="B542" s="3" t="s">
        <v>660</v>
      </c>
      <c r="C542" s="2" t="s">
        <v>12</v>
      </c>
      <c r="D542" s="2" t="str">
        <f t="shared" si="40"/>
        <v>Aug</v>
      </c>
      <c r="E542" s="24" t="s">
        <v>70</v>
      </c>
      <c r="F542" s="20" t="s">
        <v>480</v>
      </c>
      <c r="G542" s="20" t="s">
        <v>483</v>
      </c>
      <c r="H542" s="20"/>
      <c r="I542" s="4">
        <v>40000</v>
      </c>
      <c r="J542" s="4">
        <v>0</v>
      </c>
      <c r="K542" s="12" t="s">
        <v>71</v>
      </c>
      <c r="L542">
        <f t="shared" si="41"/>
        <v>2</v>
      </c>
      <c r="M542">
        <f t="shared" ca="1" si="44"/>
        <v>311</v>
      </c>
      <c r="N542" s="15">
        <f t="shared" si="42"/>
        <v>40000</v>
      </c>
      <c r="O542" t="str">
        <f t="shared" ca="1" si="43"/>
        <v>90+ Days</v>
      </c>
    </row>
    <row r="543" spans="1:15" x14ac:dyDescent="0.3">
      <c r="A543" s="6" t="s">
        <v>1048</v>
      </c>
      <c r="B543" s="7" t="s">
        <v>529</v>
      </c>
      <c r="C543" s="6" t="s">
        <v>12</v>
      </c>
      <c r="D543" s="2" t="str">
        <f t="shared" si="40"/>
        <v>Apr</v>
      </c>
      <c r="E543" s="25" t="s">
        <v>162</v>
      </c>
      <c r="F543" s="21" t="s">
        <v>238</v>
      </c>
      <c r="G543" s="21" t="s">
        <v>239</v>
      </c>
      <c r="H543" s="21" t="s">
        <v>411</v>
      </c>
      <c r="I543" s="8">
        <v>18000</v>
      </c>
      <c r="J543" s="8">
        <v>18000</v>
      </c>
      <c r="K543" s="5" t="s">
        <v>17</v>
      </c>
      <c r="L543">
        <f t="shared" si="41"/>
        <v>1</v>
      </c>
      <c r="M543">
        <f t="shared" ca="1" si="44"/>
        <v>28</v>
      </c>
      <c r="N543" s="15">
        <f t="shared" si="42"/>
        <v>0</v>
      </c>
      <c r="O543" t="str">
        <f t="shared" ca="1" si="43"/>
        <v>0-30 Days</v>
      </c>
    </row>
    <row r="544" spans="1:15" x14ac:dyDescent="0.3">
      <c r="A544" s="2" t="s">
        <v>1049</v>
      </c>
      <c r="B544" s="3" t="s">
        <v>300</v>
      </c>
      <c r="C544" s="2" t="s">
        <v>12</v>
      </c>
      <c r="D544" s="2" t="str">
        <f t="shared" si="40"/>
        <v>Apr</v>
      </c>
      <c r="E544" s="24" t="s">
        <v>477</v>
      </c>
      <c r="F544" s="20" t="s">
        <v>467</v>
      </c>
      <c r="G544" s="20" t="s">
        <v>468</v>
      </c>
      <c r="H544" s="20" t="s">
        <v>366</v>
      </c>
      <c r="I544" s="4">
        <v>18000</v>
      </c>
      <c r="J544" s="4">
        <v>18000</v>
      </c>
      <c r="K544" s="5" t="s">
        <v>17</v>
      </c>
      <c r="L544">
        <f t="shared" si="41"/>
        <v>2</v>
      </c>
      <c r="M544">
        <f t="shared" ca="1" si="44"/>
        <v>27</v>
      </c>
      <c r="N544" s="15">
        <f t="shared" si="42"/>
        <v>0</v>
      </c>
      <c r="O544" t="str">
        <f t="shared" ca="1" si="43"/>
        <v>0-30 Days</v>
      </c>
    </row>
    <row r="545" spans="1:15" x14ac:dyDescent="0.3">
      <c r="A545" s="6" t="s">
        <v>1050</v>
      </c>
      <c r="B545" s="7" t="s">
        <v>252</v>
      </c>
      <c r="C545" s="6" t="s">
        <v>12</v>
      </c>
      <c r="D545" s="2" t="str">
        <f t="shared" si="40"/>
        <v>Apr</v>
      </c>
      <c r="E545" s="25" t="s">
        <v>977</v>
      </c>
      <c r="F545" s="21" t="s">
        <v>890</v>
      </c>
      <c r="G545" s="21" t="s">
        <v>109</v>
      </c>
      <c r="H545" s="21" t="s">
        <v>112</v>
      </c>
      <c r="I545" s="8">
        <v>10000</v>
      </c>
      <c r="J545" s="8">
        <v>10000</v>
      </c>
      <c r="K545" s="9" t="s">
        <v>45</v>
      </c>
      <c r="L545">
        <f t="shared" si="41"/>
        <v>2</v>
      </c>
      <c r="M545">
        <f t="shared" ca="1" si="44"/>
        <v>56</v>
      </c>
      <c r="N545" s="15">
        <f t="shared" si="42"/>
        <v>0</v>
      </c>
      <c r="O545" t="str">
        <f t="shared" ca="1" si="43"/>
        <v>31-60 Days</v>
      </c>
    </row>
    <row r="546" spans="1:15" x14ac:dyDescent="0.3">
      <c r="A546" s="2" t="s">
        <v>1051</v>
      </c>
      <c r="B546" s="3" t="s">
        <v>454</v>
      </c>
      <c r="C546" s="2" t="s">
        <v>12</v>
      </c>
      <c r="D546" s="2" t="str">
        <f t="shared" si="40"/>
        <v>Apr</v>
      </c>
      <c r="E546" s="24" t="s">
        <v>238</v>
      </c>
      <c r="F546" s="20" t="s">
        <v>51</v>
      </c>
      <c r="G546" s="20" t="s">
        <v>235</v>
      </c>
      <c r="H546" s="20" t="s">
        <v>977</v>
      </c>
      <c r="I546" s="4">
        <v>75000</v>
      </c>
      <c r="J546" s="4">
        <v>75000</v>
      </c>
      <c r="K546" s="5" t="s">
        <v>17</v>
      </c>
      <c r="L546">
        <f t="shared" si="41"/>
        <v>2</v>
      </c>
      <c r="M546">
        <f t="shared" ca="1" si="44"/>
        <v>8</v>
      </c>
      <c r="N546" s="15">
        <f t="shared" si="42"/>
        <v>0</v>
      </c>
      <c r="O546" t="str">
        <f t="shared" ca="1" si="43"/>
        <v>0-30 Days</v>
      </c>
    </row>
    <row r="547" spans="1:15" x14ac:dyDescent="0.3">
      <c r="A547" s="6" t="s">
        <v>1052</v>
      </c>
      <c r="B547" s="7" t="s">
        <v>255</v>
      </c>
      <c r="C547" s="6" t="s">
        <v>26</v>
      </c>
      <c r="D547" s="2" t="str">
        <f t="shared" si="40"/>
        <v>Dec</v>
      </c>
      <c r="E547" s="25" t="s">
        <v>275</v>
      </c>
      <c r="F547" s="21" t="s">
        <v>282</v>
      </c>
      <c r="G547" s="21" t="s">
        <v>283</v>
      </c>
      <c r="H547" s="21"/>
      <c r="I547" s="8">
        <v>45000</v>
      </c>
      <c r="J547" s="8">
        <v>0</v>
      </c>
      <c r="K547" s="11" t="s">
        <v>63</v>
      </c>
      <c r="L547">
        <f t="shared" si="41"/>
        <v>2</v>
      </c>
      <c r="M547">
        <f t="shared" ca="1" si="44"/>
        <v>186</v>
      </c>
      <c r="N547" s="15">
        <f t="shared" si="42"/>
        <v>45000</v>
      </c>
      <c r="O547" t="str">
        <f t="shared" ca="1" si="43"/>
        <v>90+ Days</v>
      </c>
    </row>
    <row r="548" spans="1:15" x14ac:dyDescent="0.3">
      <c r="A548" s="2" t="s">
        <v>1053</v>
      </c>
      <c r="B548" s="3" t="s">
        <v>431</v>
      </c>
      <c r="C548" s="2" t="s">
        <v>12</v>
      </c>
      <c r="D548" s="2" t="str">
        <f t="shared" si="40"/>
        <v>Nov</v>
      </c>
      <c r="E548" s="24" t="s">
        <v>140</v>
      </c>
      <c r="F548" s="20" t="s">
        <v>37</v>
      </c>
      <c r="G548" s="20" t="s">
        <v>141</v>
      </c>
      <c r="H548" s="20" t="s">
        <v>409</v>
      </c>
      <c r="I548" s="4">
        <v>12000</v>
      </c>
      <c r="J548" s="4">
        <v>12000</v>
      </c>
      <c r="K548" s="9" t="s">
        <v>45</v>
      </c>
      <c r="L548">
        <f t="shared" si="41"/>
        <v>2</v>
      </c>
      <c r="M548">
        <f t="shared" ca="1" si="44"/>
        <v>42</v>
      </c>
      <c r="N548" s="15">
        <f t="shared" si="42"/>
        <v>0</v>
      </c>
      <c r="O548" t="str">
        <f t="shared" ca="1" si="43"/>
        <v>31-60 Days</v>
      </c>
    </row>
    <row r="549" spans="1:15" x14ac:dyDescent="0.3">
      <c r="A549" s="6" t="s">
        <v>1054</v>
      </c>
      <c r="B549" s="7" t="s">
        <v>802</v>
      </c>
      <c r="C549" s="6" t="s">
        <v>12</v>
      </c>
      <c r="D549" s="2" t="str">
        <f t="shared" si="40"/>
        <v>Aug</v>
      </c>
      <c r="E549" s="25" t="s">
        <v>256</v>
      </c>
      <c r="F549" s="21" t="s">
        <v>289</v>
      </c>
      <c r="G549" s="21" t="s">
        <v>290</v>
      </c>
      <c r="H549" s="21"/>
      <c r="I549" s="8">
        <v>25000</v>
      </c>
      <c r="J549" s="8">
        <v>0</v>
      </c>
      <c r="K549" s="10" t="s">
        <v>57</v>
      </c>
      <c r="L549">
        <f t="shared" si="41"/>
        <v>3</v>
      </c>
      <c r="M549">
        <f t="shared" ca="1" si="44"/>
        <v>294</v>
      </c>
      <c r="N549" s="15">
        <f t="shared" si="42"/>
        <v>25000</v>
      </c>
      <c r="O549" t="str">
        <f t="shared" ca="1" si="43"/>
        <v>90+ Days</v>
      </c>
    </row>
    <row r="550" spans="1:15" x14ac:dyDescent="0.3">
      <c r="A550" s="2" t="s">
        <v>1055</v>
      </c>
      <c r="B550" s="3" t="s">
        <v>519</v>
      </c>
      <c r="C550" s="2" t="s">
        <v>12</v>
      </c>
      <c r="D550" s="2" t="str">
        <f t="shared" si="40"/>
        <v>Jun</v>
      </c>
      <c r="E550" s="24" t="s">
        <v>517</v>
      </c>
      <c r="F550" s="20" t="s">
        <v>560</v>
      </c>
      <c r="G550" s="20" t="s">
        <v>55</v>
      </c>
      <c r="H550" s="20" t="s">
        <v>345</v>
      </c>
      <c r="I550" s="4">
        <v>10000</v>
      </c>
      <c r="J550" s="4">
        <v>10000</v>
      </c>
      <c r="K550" s="9" t="s">
        <v>45</v>
      </c>
      <c r="L550">
        <f t="shared" si="41"/>
        <v>3</v>
      </c>
      <c r="M550">
        <f t="shared" ca="1" si="44"/>
        <v>41</v>
      </c>
      <c r="N550" s="15">
        <f t="shared" si="42"/>
        <v>0</v>
      </c>
      <c r="O550" t="str">
        <f t="shared" ca="1" si="43"/>
        <v>31-60 Days</v>
      </c>
    </row>
    <row r="551" spans="1:15" x14ac:dyDescent="0.3">
      <c r="A551" s="6" t="s">
        <v>1056</v>
      </c>
      <c r="B551" s="7" t="s">
        <v>702</v>
      </c>
      <c r="C551" s="6" t="s">
        <v>40</v>
      </c>
      <c r="D551" s="2" t="str">
        <f t="shared" si="40"/>
        <v>May</v>
      </c>
      <c r="E551" s="25" t="s">
        <v>383</v>
      </c>
      <c r="F551" s="21" t="s">
        <v>163</v>
      </c>
      <c r="G551" s="21" t="s">
        <v>792</v>
      </c>
      <c r="H551" s="21" t="s">
        <v>507</v>
      </c>
      <c r="I551" s="8">
        <v>15000</v>
      </c>
      <c r="J551" s="8">
        <v>15000</v>
      </c>
      <c r="K551" s="5" t="s">
        <v>17</v>
      </c>
      <c r="L551">
        <f t="shared" si="41"/>
        <v>2</v>
      </c>
      <c r="M551">
        <f t="shared" ca="1" si="44"/>
        <v>27</v>
      </c>
      <c r="N551" s="15">
        <f t="shared" si="42"/>
        <v>0</v>
      </c>
      <c r="O551" t="str">
        <f t="shared" ca="1" si="43"/>
        <v>0-30 Days</v>
      </c>
    </row>
    <row r="552" spans="1:15" x14ac:dyDescent="0.3">
      <c r="A552" s="2" t="s">
        <v>1057</v>
      </c>
      <c r="B552" s="3" t="s">
        <v>407</v>
      </c>
      <c r="C552" s="2" t="s">
        <v>33</v>
      </c>
      <c r="D552" s="2" t="str">
        <f t="shared" si="40"/>
        <v>Sep</v>
      </c>
      <c r="E552" s="24" t="s">
        <v>375</v>
      </c>
      <c r="F552" s="20" t="s">
        <v>158</v>
      </c>
      <c r="G552" s="20" t="s">
        <v>392</v>
      </c>
      <c r="H552" s="20" t="s">
        <v>245</v>
      </c>
      <c r="I552" s="4">
        <v>18000</v>
      </c>
      <c r="J552" s="4">
        <v>18000</v>
      </c>
      <c r="K552" s="9" t="s">
        <v>45</v>
      </c>
      <c r="L552">
        <f t="shared" si="41"/>
        <v>2</v>
      </c>
      <c r="M552">
        <f t="shared" ca="1" si="44"/>
        <v>49</v>
      </c>
      <c r="N552" s="15">
        <f t="shared" si="42"/>
        <v>0</v>
      </c>
      <c r="O552" t="str">
        <f t="shared" ca="1" si="43"/>
        <v>31-60 Days</v>
      </c>
    </row>
    <row r="553" spans="1:15" x14ac:dyDescent="0.3">
      <c r="A553" s="6" t="s">
        <v>1058</v>
      </c>
      <c r="B553" s="7" t="s">
        <v>439</v>
      </c>
      <c r="C553" s="6" t="s">
        <v>12</v>
      </c>
      <c r="D553" s="2" t="str">
        <f t="shared" si="40"/>
        <v>Aug</v>
      </c>
      <c r="E553" s="25" t="s">
        <v>635</v>
      </c>
      <c r="F553" s="21" t="s">
        <v>820</v>
      </c>
      <c r="G553" s="21" t="s">
        <v>670</v>
      </c>
      <c r="H553" s="21" t="s">
        <v>629</v>
      </c>
      <c r="I553" s="8">
        <v>35000</v>
      </c>
      <c r="J553" s="8">
        <v>35000</v>
      </c>
      <c r="K553" s="9" t="s">
        <v>45</v>
      </c>
      <c r="L553">
        <f t="shared" si="41"/>
        <v>1</v>
      </c>
      <c r="M553">
        <f t="shared" ca="1" si="44"/>
        <v>53</v>
      </c>
      <c r="N553" s="15">
        <f t="shared" si="42"/>
        <v>0</v>
      </c>
      <c r="O553" t="str">
        <f t="shared" ca="1" si="43"/>
        <v>31-60 Days</v>
      </c>
    </row>
    <row r="554" spans="1:15" x14ac:dyDescent="0.3">
      <c r="A554" s="2" t="s">
        <v>1059</v>
      </c>
      <c r="B554" s="3" t="s">
        <v>1060</v>
      </c>
      <c r="C554" s="2" t="s">
        <v>12</v>
      </c>
      <c r="D554" s="2" t="str">
        <f t="shared" si="40"/>
        <v>Mar</v>
      </c>
      <c r="E554" s="24" t="s">
        <v>15</v>
      </c>
      <c r="F554" s="20" t="s">
        <v>161</v>
      </c>
      <c r="G554" s="20" t="s">
        <v>564</v>
      </c>
      <c r="H554" s="20" t="s">
        <v>218</v>
      </c>
      <c r="I554" s="4">
        <v>25000</v>
      </c>
      <c r="J554" s="4">
        <v>25000</v>
      </c>
      <c r="K554" s="5" t="s">
        <v>17</v>
      </c>
      <c r="L554">
        <f t="shared" si="41"/>
        <v>3</v>
      </c>
      <c r="M554">
        <f t="shared" ca="1" si="44"/>
        <v>9</v>
      </c>
      <c r="N554" s="15">
        <f t="shared" si="42"/>
        <v>0</v>
      </c>
      <c r="O554" t="str">
        <f t="shared" ca="1" si="43"/>
        <v>0-30 Days</v>
      </c>
    </row>
    <row r="555" spans="1:15" x14ac:dyDescent="0.3">
      <c r="A555" s="6" t="s">
        <v>1061</v>
      </c>
      <c r="B555" s="7" t="s">
        <v>822</v>
      </c>
      <c r="C555" s="6" t="s">
        <v>26</v>
      </c>
      <c r="D555" s="2" t="str">
        <f t="shared" si="40"/>
        <v>Jun</v>
      </c>
      <c r="E555" s="25" t="s">
        <v>368</v>
      </c>
      <c r="F555" s="21" t="s">
        <v>112</v>
      </c>
      <c r="G555" s="21" t="s">
        <v>194</v>
      </c>
      <c r="H555" s="21"/>
      <c r="I555" s="8">
        <v>8000</v>
      </c>
      <c r="J555" s="8">
        <v>0</v>
      </c>
      <c r="K555" s="10" t="s">
        <v>57</v>
      </c>
      <c r="L555">
        <f t="shared" si="41"/>
        <v>2</v>
      </c>
      <c r="M555">
        <f t="shared" ca="1" si="44"/>
        <v>368</v>
      </c>
      <c r="N555" s="15">
        <f t="shared" si="42"/>
        <v>8000</v>
      </c>
      <c r="O555" t="str">
        <f t="shared" ca="1" si="43"/>
        <v>90+ Days</v>
      </c>
    </row>
    <row r="556" spans="1:15" x14ac:dyDescent="0.3">
      <c r="A556" s="2" t="s">
        <v>1062</v>
      </c>
      <c r="B556" s="3" t="s">
        <v>144</v>
      </c>
      <c r="C556" s="2" t="s">
        <v>12</v>
      </c>
      <c r="D556" s="2" t="str">
        <f t="shared" si="40"/>
        <v>Sep</v>
      </c>
      <c r="E556" s="24" t="s">
        <v>291</v>
      </c>
      <c r="F556" s="20" t="s">
        <v>617</v>
      </c>
      <c r="G556" s="20" t="s">
        <v>437</v>
      </c>
      <c r="H556" s="20"/>
      <c r="I556" s="4">
        <v>30000</v>
      </c>
      <c r="J556" s="4">
        <v>0</v>
      </c>
      <c r="K556" s="10" t="s">
        <v>57</v>
      </c>
      <c r="L556">
        <f t="shared" si="41"/>
        <v>1</v>
      </c>
      <c r="M556">
        <f t="shared" ca="1" si="44"/>
        <v>282</v>
      </c>
      <c r="N556" s="15">
        <f t="shared" si="42"/>
        <v>30000</v>
      </c>
      <c r="O556" t="str">
        <f t="shared" ca="1" si="43"/>
        <v>90+ Days</v>
      </c>
    </row>
    <row r="557" spans="1:15" x14ac:dyDescent="0.3">
      <c r="A557" s="6" t="s">
        <v>1063</v>
      </c>
      <c r="B557" s="7" t="s">
        <v>660</v>
      </c>
      <c r="C557" s="6" t="s">
        <v>12</v>
      </c>
      <c r="D557" s="2" t="str">
        <f t="shared" si="40"/>
        <v>Sep</v>
      </c>
      <c r="E557" s="25" t="s">
        <v>672</v>
      </c>
      <c r="F557" s="21" t="s">
        <v>375</v>
      </c>
      <c r="G557" s="21" t="s">
        <v>376</v>
      </c>
      <c r="H557" s="21" t="s">
        <v>243</v>
      </c>
      <c r="I557" s="8">
        <v>35000</v>
      </c>
      <c r="J557" s="8">
        <v>35000</v>
      </c>
      <c r="K557" s="5" t="s">
        <v>17</v>
      </c>
      <c r="L557">
        <f t="shared" si="41"/>
        <v>3</v>
      </c>
      <c r="M557">
        <f t="shared" ca="1" si="44"/>
        <v>20</v>
      </c>
      <c r="N557" s="15">
        <f t="shared" si="42"/>
        <v>0</v>
      </c>
      <c r="O557" t="str">
        <f t="shared" ca="1" si="43"/>
        <v>0-30 Days</v>
      </c>
    </row>
    <row r="558" spans="1:15" x14ac:dyDescent="0.3">
      <c r="A558" s="2" t="s">
        <v>1064</v>
      </c>
      <c r="B558" s="3" t="s">
        <v>482</v>
      </c>
      <c r="C558" s="2" t="s">
        <v>26</v>
      </c>
      <c r="D558" s="2" t="str">
        <f t="shared" si="40"/>
        <v>Dec</v>
      </c>
      <c r="E558" s="24" t="s">
        <v>390</v>
      </c>
      <c r="F558" s="20" t="s">
        <v>138</v>
      </c>
      <c r="G558" s="20" t="s">
        <v>1065</v>
      </c>
      <c r="H558" s="20" t="s">
        <v>1066</v>
      </c>
      <c r="I558" s="4">
        <v>35000</v>
      </c>
      <c r="J558" s="4">
        <v>35000</v>
      </c>
      <c r="K558" s="5" t="s">
        <v>17</v>
      </c>
      <c r="L558">
        <f t="shared" si="41"/>
        <v>2</v>
      </c>
      <c r="M558">
        <f t="shared" ca="1" si="44"/>
        <v>23</v>
      </c>
      <c r="N558" s="15">
        <f t="shared" si="42"/>
        <v>0</v>
      </c>
      <c r="O558" t="str">
        <f t="shared" ca="1" si="43"/>
        <v>0-30 Days</v>
      </c>
    </row>
    <row r="559" spans="1:15" x14ac:dyDescent="0.3">
      <c r="A559" s="6" t="s">
        <v>1067</v>
      </c>
      <c r="B559" s="7" t="s">
        <v>32</v>
      </c>
      <c r="C559" s="6" t="s">
        <v>33</v>
      </c>
      <c r="D559" s="2" t="str">
        <f t="shared" si="40"/>
        <v>Apr</v>
      </c>
      <c r="E559" s="25" t="s">
        <v>204</v>
      </c>
      <c r="F559" s="21" t="s">
        <v>405</v>
      </c>
      <c r="G559" s="21" t="s">
        <v>426</v>
      </c>
      <c r="H559" s="21" t="s">
        <v>151</v>
      </c>
      <c r="I559" s="8">
        <v>8000</v>
      </c>
      <c r="J559" s="8">
        <v>8000</v>
      </c>
      <c r="K559" s="5" t="s">
        <v>17</v>
      </c>
      <c r="L559">
        <f t="shared" si="41"/>
        <v>2</v>
      </c>
      <c r="M559">
        <f t="shared" ca="1" si="44"/>
        <v>22</v>
      </c>
      <c r="N559" s="15">
        <f t="shared" si="42"/>
        <v>0</v>
      </c>
      <c r="O559" t="str">
        <f t="shared" ca="1" si="43"/>
        <v>0-30 Days</v>
      </c>
    </row>
    <row r="560" spans="1:15" x14ac:dyDescent="0.3">
      <c r="A560" s="2" t="s">
        <v>1068</v>
      </c>
      <c r="B560" s="3" t="s">
        <v>297</v>
      </c>
      <c r="C560" s="2" t="s">
        <v>26</v>
      </c>
      <c r="D560" s="2" t="str">
        <f t="shared" si="40"/>
        <v>Mar</v>
      </c>
      <c r="E560" s="24" t="s">
        <v>451</v>
      </c>
      <c r="F560" s="20" t="s">
        <v>15</v>
      </c>
      <c r="G560" s="20" t="s">
        <v>209</v>
      </c>
      <c r="H560" s="20" t="s">
        <v>423</v>
      </c>
      <c r="I560" s="4">
        <v>35000</v>
      </c>
      <c r="J560" s="4">
        <v>35000</v>
      </c>
      <c r="K560" s="5" t="s">
        <v>17</v>
      </c>
      <c r="L560">
        <f t="shared" si="41"/>
        <v>2</v>
      </c>
      <c r="M560">
        <f t="shared" ca="1" si="44"/>
        <v>8</v>
      </c>
      <c r="N560" s="15">
        <f t="shared" si="42"/>
        <v>0</v>
      </c>
      <c r="O560" t="str">
        <f t="shared" ca="1" si="43"/>
        <v>0-30 Days</v>
      </c>
    </row>
    <row r="561" spans="1:15" x14ac:dyDescent="0.3">
      <c r="A561" s="6" t="s">
        <v>1069</v>
      </c>
      <c r="B561" s="7" t="s">
        <v>402</v>
      </c>
      <c r="C561" s="6" t="s">
        <v>12</v>
      </c>
      <c r="D561" s="2" t="str">
        <f t="shared" si="40"/>
        <v>Feb</v>
      </c>
      <c r="E561" s="25" t="s">
        <v>14</v>
      </c>
      <c r="F561" s="21" t="s">
        <v>1070</v>
      </c>
      <c r="G561" s="21" t="s">
        <v>219</v>
      </c>
      <c r="H561" s="21"/>
      <c r="I561" s="8">
        <v>55000</v>
      </c>
      <c r="J561" s="8">
        <v>0</v>
      </c>
      <c r="K561" s="10" t="s">
        <v>57</v>
      </c>
      <c r="L561">
        <f t="shared" si="41"/>
        <v>2</v>
      </c>
      <c r="M561">
        <f t="shared" ca="1" si="44"/>
        <v>471</v>
      </c>
      <c r="N561" s="15">
        <f t="shared" si="42"/>
        <v>55000</v>
      </c>
      <c r="O561" t="str">
        <f t="shared" ca="1" si="43"/>
        <v>90+ Days</v>
      </c>
    </row>
    <row r="562" spans="1:15" x14ac:dyDescent="0.3">
      <c r="A562" s="2" t="s">
        <v>1071</v>
      </c>
      <c r="B562" s="3" t="s">
        <v>176</v>
      </c>
      <c r="C562" s="2" t="s">
        <v>12</v>
      </c>
      <c r="D562" s="2" t="str">
        <f t="shared" si="40"/>
        <v>Oct</v>
      </c>
      <c r="E562" s="24" t="s">
        <v>432</v>
      </c>
      <c r="F562" s="20" t="s">
        <v>647</v>
      </c>
      <c r="G562" s="20" t="s">
        <v>447</v>
      </c>
      <c r="H562" s="20" t="s">
        <v>273</v>
      </c>
      <c r="I562" s="4">
        <v>22000</v>
      </c>
      <c r="J562" s="4">
        <v>22000</v>
      </c>
      <c r="K562" s="5" t="s">
        <v>17</v>
      </c>
      <c r="L562">
        <f t="shared" si="41"/>
        <v>1</v>
      </c>
      <c r="M562">
        <f t="shared" ca="1" si="44"/>
        <v>18</v>
      </c>
      <c r="N562" s="15">
        <f t="shared" si="42"/>
        <v>0</v>
      </c>
      <c r="O562" t="str">
        <f t="shared" ca="1" si="43"/>
        <v>0-30 Days</v>
      </c>
    </row>
    <row r="563" spans="1:15" x14ac:dyDescent="0.3">
      <c r="A563" s="6" t="s">
        <v>1072</v>
      </c>
      <c r="B563" s="7" t="s">
        <v>234</v>
      </c>
      <c r="C563" s="6" t="s">
        <v>40</v>
      </c>
      <c r="D563" s="2" t="str">
        <f t="shared" si="40"/>
        <v>Dec</v>
      </c>
      <c r="E563" s="25" t="s">
        <v>301</v>
      </c>
      <c r="F563" s="21" t="s">
        <v>270</v>
      </c>
      <c r="G563" s="21" t="s">
        <v>138</v>
      </c>
      <c r="H563" s="21"/>
      <c r="I563" s="8">
        <v>60000</v>
      </c>
      <c r="J563" s="8">
        <v>0</v>
      </c>
      <c r="K563" s="10" t="s">
        <v>57</v>
      </c>
      <c r="L563">
        <f t="shared" si="41"/>
        <v>1</v>
      </c>
      <c r="M563">
        <f t="shared" ca="1" si="44"/>
        <v>196</v>
      </c>
      <c r="N563" s="15">
        <f t="shared" si="42"/>
        <v>60000</v>
      </c>
      <c r="O563" t="str">
        <f t="shared" ca="1" si="43"/>
        <v>90+ Days</v>
      </c>
    </row>
    <row r="564" spans="1:15" x14ac:dyDescent="0.3">
      <c r="A564" s="2" t="s">
        <v>1073</v>
      </c>
      <c r="B564" s="3" t="s">
        <v>25</v>
      </c>
      <c r="C564" s="2" t="s">
        <v>26</v>
      </c>
      <c r="D564" s="2" t="str">
        <f t="shared" si="40"/>
        <v>Aug</v>
      </c>
      <c r="E564" s="24" t="s">
        <v>534</v>
      </c>
      <c r="F564" s="20" t="s">
        <v>156</v>
      </c>
      <c r="G564" s="20" t="s">
        <v>535</v>
      </c>
      <c r="H564" s="20"/>
      <c r="I564" s="4">
        <v>100000</v>
      </c>
      <c r="J564" s="4">
        <v>0</v>
      </c>
      <c r="K564" s="10" t="s">
        <v>57</v>
      </c>
      <c r="L564">
        <f t="shared" si="41"/>
        <v>2</v>
      </c>
      <c r="M564">
        <f t="shared" ca="1" si="44"/>
        <v>299</v>
      </c>
      <c r="N564" s="15">
        <f t="shared" si="42"/>
        <v>100000</v>
      </c>
      <c r="O564" t="str">
        <f t="shared" ca="1" si="43"/>
        <v>90+ Days</v>
      </c>
    </row>
    <row r="565" spans="1:15" x14ac:dyDescent="0.3">
      <c r="A565" s="6" t="s">
        <v>1074</v>
      </c>
      <c r="B565" s="7" t="s">
        <v>492</v>
      </c>
      <c r="C565" s="6" t="s">
        <v>26</v>
      </c>
      <c r="D565" s="2" t="str">
        <f t="shared" si="40"/>
        <v>Aug</v>
      </c>
      <c r="E565" s="25" t="s">
        <v>730</v>
      </c>
      <c r="F565" s="21" t="s">
        <v>815</v>
      </c>
      <c r="G565" s="21" t="s">
        <v>116</v>
      </c>
      <c r="H565" s="21" t="s">
        <v>132</v>
      </c>
      <c r="I565" s="8">
        <v>40000</v>
      </c>
      <c r="J565" s="8">
        <v>40000</v>
      </c>
      <c r="K565" s="5" t="s">
        <v>17</v>
      </c>
      <c r="L565">
        <f t="shared" si="41"/>
        <v>1</v>
      </c>
      <c r="M565">
        <f t="shared" ca="1" si="44"/>
        <v>28</v>
      </c>
      <c r="N565" s="15">
        <f t="shared" si="42"/>
        <v>0</v>
      </c>
      <c r="O565" t="str">
        <f t="shared" ca="1" si="43"/>
        <v>0-30 Days</v>
      </c>
    </row>
    <row r="566" spans="1:15" x14ac:dyDescent="0.3">
      <c r="A566" s="2" t="s">
        <v>1075</v>
      </c>
      <c r="B566" s="3" t="s">
        <v>39</v>
      </c>
      <c r="C566" s="2" t="s">
        <v>40</v>
      </c>
      <c r="D566" s="2" t="str">
        <f t="shared" si="40"/>
        <v>Dec</v>
      </c>
      <c r="E566" s="24" t="s">
        <v>98</v>
      </c>
      <c r="F566" s="20" t="s">
        <v>190</v>
      </c>
      <c r="G566" s="20" t="s">
        <v>191</v>
      </c>
      <c r="H566" s="20" t="s">
        <v>390</v>
      </c>
      <c r="I566" s="4">
        <v>18000</v>
      </c>
      <c r="J566" s="4">
        <v>18000</v>
      </c>
      <c r="K566" s="5" t="s">
        <v>17</v>
      </c>
      <c r="L566">
        <f t="shared" si="41"/>
        <v>2</v>
      </c>
      <c r="M566">
        <f t="shared" ca="1" si="44"/>
        <v>9</v>
      </c>
      <c r="N566" s="15">
        <f t="shared" si="42"/>
        <v>0</v>
      </c>
      <c r="O566" t="str">
        <f t="shared" ca="1" si="43"/>
        <v>0-30 Days</v>
      </c>
    </row>
    <row r="567" spans="1:15" x14ac:dyDescent="0.3">
      <c r="A567" s="6" t="s">
        <v>1076</v>
      </c>
      <c r="B567" s="7" t="s">
        <v>258</v>
      </c>
      <c r="C567" s="6" t="s">
        <v>33</v>
      </c>
      <c r="D567" s="2" t="str">
        <f t="shared" si="40"/>
        <v>Apr</v>
      </c>
      <c r="E567" s="25" t="s">
        <v>977</v>
      </c>
      <c r="F567" s="21" t="s">
        <v>538</v>
      </c>
      <c r="G567" s="21" t="s">
        <v>151</v>
      </c>
      <c r="H567" s="21" t="s">
        <v>792</v>
      </c>
      <c r="I567" s="8">
        <v>8000</v>
      </c>
      <c r="J567" s="8">
        <v>8000</v>
      </c>
      <c r="K567" s="9" t="s">
        <v>45</v>
      </c>
      <c r="L567">
        <f t="shared" si="41"/>
        <v>1</v>
      </c>
      <c r="M567">
        <f t="shared" ca="1" si="44"/>
        <v>48</v>
      </c>
      <c r="N567" s="15">
        <f t="shared" si="42"/>
        <v>0</v>
      </c>
      <c r="O567" t="str">
        <f t="shared" ca="1" si="43"/>
        <v>31-60 Days</v>
      </c>
    </row>
    <row r="568" spans="1:15" x14ac:dyDescent="0.3">
      <c r="A568" s="2" t="s">
        <v>1077</v>
      </c>
      <c r="B568" s="3" t="s">
        <v>47</v>
      </c>
      <c r="C568" s="2" t="s">
        <v>40</v>
      </c>
      <c r="D568" s="2" t="str">
        <f t="shared" si="40"/>
        <v>Nov</v>
      </c>
      <c r="E568" s="24" t="s">
        <v>140</v>
      </c>
      <c r="F568" s="20" t="s">
        <v>447</v>
      </c>
      <c r="G568" s="20" t="s">
        <v>74</v>
      </c>
      <c r="H568" s="20" t="s">
        <v>270</v>
      </c>
      <c r="I568" s="4">
        <v>25000</v>
      </c>
      <c r="J568" s="4">
        <v>25000</v>
      </c>
      <c r="K568" s="5" t="s">
        <v>17</v>
      </c>
      <c r="L568">
        <f t="shared" si="41"/>
        <v>3</v>
      </c>
      <c r="M568">
        <f t="shared" ca="1" si="44"/>
        <v>27</v>
      </c>
      <c r="N568" s="15">
        <f t="shared" si="42"/>
        <v>0</v>
      </c>
      <c r="O568" t="str">
        <f t="shared" ca="1" si="43"/>
        <v>0-30 Days</v>
      </c>
    </row>
    <row r="569" spans="1:15" x14ac:dyDescent="0.3">
      <c r="A569" s="6" t="s">
        <v>1078</v>
      </c>
      <c r="B569" s="7" t="s">
        <v>378</v>
      </c>
      <c r="C569" s="6" t="s">
        <v>12</v>
      </c>
      <c r="D569" s="2" t="str">
        <f t="shared" si="40"/>
        <v>May</v>
      </c>
      <c r="E569" s="25" t="s">
        <v>210</v>
      </c>
      <c r="F569" s="21" t="s">
        <v>507</v>
      </c>
      <c r="G569" s="21" t="s">
        <v>178</v>
      </c>
      <c r="H569" s="21"/>
      <c r="I569" s="8">
        <v>50000</v>
      </c>
      <c r="J569" s="8">
        <v>0</v>
      </c>
      <c r="K569" s="11" t="s">
        <v>63</v>
      </c>
      <c r="L569">
        <f t="shared" si="41"/>
        <v>3</v>
      </c>
      <c r="M569">
        <f t="shared" ca="1" si="44"/>
        <v>380</v>
      </c>
      <c r="N569" s="15">
        <f t="shared" si="42"/>
        <v>50000</v>
      </c>
      <c r="O569" t="str">
        <f t="shared" ca="1" si="43"/>
        <v>90+ Days</v>
      </c>
    </row>
    <row r="570" spans="1:15" x14ac:dyDescent="0.3">
      <c r="A570" s="2" t="s">
        <v>1079</v>
      </c>
      <c r="B570" s="3" t="s">
        <v>130</v>
      </c>
      <c r="C570" s="2" t="s">
        <v>12</v>
      </c>
      <c r="D570" s="2" t="str">
        <f t="shared" si="40"/>
        <v>Dec</v>
      </c>
      <c r="E570" s="24" t="s">
        <v>631</v>
      </c>
      <c r="F570" s="20" t="s">
        <v>145</v>
      </c>
      <c r="G570" s="20" t="s">
        <v>615</v>
      </c>
      <c r="H570" s="20"/>
      <c r="I570" s="4">
        <v>20000</v>
      </c>
      <c r="J570" s="4">
        <v>0</v>
      </c>
      <c r="K570" s="11" t="s">
        <v>63</v>
      </c>
      <c r="L570">
        <f t="shared" si="41"/>
        <v>1</v>
      </c>
      <c r="M570">
        <f t="shared" ca="1" si="44"/>
        <v>183</v>
      </c>
      <c r="N570" s="15">
        <f t="shared" si="42"/>
        <v>20000</v>
      </c>
      <c r="O570" t="str">
        <f t="shared" ca="1" si="43"/>
        <v>90+ Days</v>
      </c>
    </row>
    <row r="571" spans="1:15" x14ac:dyDescent="0.3">
      <c r="A571" s="6" t="s">
        <v>1080</v>
      </c>
      <c r="B571" s="7" t="s">
        <v>258</v>
      </c>
      <c r="C571" s="6" t="s">
        <v>33</v>
      </c>
      <c r="D571" s="2" t="str">
        <f t="shared" si="40"/>
        <v>Jul</v>
      </c>
      <c r="E571" s="25" t="s">
        <v>226</v>
      </c>
      <c r="F571" s="21" t="s">
        <v>337</v>
      </c>
      <c r="G571" s="21" t="s">
        <v>908</v>
      </c>
      <c r="H571" s="21"/>
      <c r="I571" s="8">
        <v>50000</v>
      </c>
      <c r="J571" s="8">
        <v>0</v>
      </c>
      <c r="K571" s="10" t="s">
        <v>57</v>
      </c>
      <c r="L571">
        <f t="shared" si="41"/>
        <v>1</v>
      </c>
      <c r="M571">
        <f t="shared" ca="1" si="44"/>
        <v>320</v>
      </c>
      <c r="N571" s="15">
        <f t="shared" si="42"/>
        <v>50000</v>
      </c>
      <c r="O571" t="str">
        <f t="shared" ca="1" si="43"/>
        <v>90+ Days</v>
      </c>
    </row>
    <row r="572" spans="1:15" x14ac:dyDescent="0.3">
      <c r="A572" s="2" t="s">
        <v>1081</v>
      </c>
      <c r="B572" s="3" t="s">
        <v>285</v>
      </c>
      <c r="C572" s="2" t="s">
        <v>12</v>
      </c>
      <c r="D572" s="2" t="str">
        <f t="shared" si="40"/>
        <v>Dec</v>
      </c>
      <c r="E572" s="24" t="s">
        <v>580</v>
      </c>
      <c r="F572" s="20" t="s">
        <v>167</v>
      </c>
      <c r="G572" s="20" t="s">
        <v>664</v>
      </c>
      <c r="H572" s="20" t="s">
        <v>283</v>
      </c>
      <c r="I572" s="4">
        <v>40000</v>
      </c>
      <c r="J572" s="4">
        <v>40000</v>
      </c>
      <c r="K572" s="5" t="s">
        <v>17</v>
      </c>
      <c r="L572">
        <f t="shared" si="41"/>
        <v>1</v>
      </c>
      <c r="M572">
        <f t="shared" ca="1" si="44"/>
        <v>15</v>
      </c>
      <c r="N572" s="15">
        <f t="shared" si="42"/>
        <v>0</v>
      </c>
      <c r="O572" t="str">
        <f t="shared" ca="1" si="43"/>
        <v>0-30 Days</v>
      </c>
    </row>
    <row r="573" spans="1:15" x14ac:dyDescent="0.3">
      <c r="A573" s="6" t="s">
        <v>1082</v>
      </c>
      <c r="B573" s="7" t="s">
        <v>120</v>
      </c>
      <c r="C573" s="6" t="s">
        <v>40</v>
      </c>
      <c r="D573" s="2" t="str">
        <f t="shared" si="40"/>
        <v>Dec</v>
      </c>
      <c r="E573" s="25" t="s">
        <v>286</v>
      </c>
      <c r="F573" s="21" t="s">
        <v>145</v>
      </c>
      <c r="G573" s="21" t="s">
        <v>615</v>
      </c>
      <c r="H573" s="21" t="s">
        <v>848</v>
      </c>
      <c r="I573" s="8">
        <v>35000</v>
      </c>
      <c r="J573" s="8">
        <v>35000</v>
      </c>
      <c r="K573" s="5" t="s">
        <v>17</v>
      </c>
      <c r="L573">
        <f t="shared" si="41"/>
        <v>2</v>
      </c>
      <c r="M573">
        <f t="shared" ca="1" si="44"/>
        <v>25</v>
      </c>
      <c r="N573" s="15">
        <f t="shared" si="42"/>
        <v>0</v>
      </c>
      <c r="O573" t="str">
        <f t="shared" ca="1" si="43"/>
        <v>0-30 Days</v>
      </c>
    </row>
    <row r="574" spans="1:15" x14ac:dyDescent="0.3">
      <c r="A574" s="2" t="s">
        <v>1083</v>
      </c>
      <c r="B574" s="3" t="s">
        <v>512</v>
      </c>
      <c r="C574" s="2" t="s">
        <v>12</v>
      </c>
      <c r="D574" s="2" t="str">
        <f t="shared" si="40"/>
        <v>Nov</v>
      </c>
      <c r="E574" s="24" t="s">
        <v>136</v>
      </c>
      <c r="F574" s="20" t="s">
        <v>547</v>
      </c>
      <c r="G574" s="20" t="s">
        <v>189</v>
      </c>
      <c r="H574" s="20" t="s">
        <v>145</v>
      </c>
      <c r="I574" s="4">
        <v>12000</v>
      </c>
      <c r="J574" s="4">
        <v>12000</v>
      </c>
      <c r="K574" s="5" t="s">
        <v>17</v>
      </c>
      <c r="L574">
        <f t="shared" si="41"/>
        <v>2</v>
      </c>
      <c r="M574">
        <f t="shared" ca="1" si="44"/>
        <v>25</v>
      </c>
      <c r="N574" s="15">
        <f t="shared" si="42"/>
        <v>0</v>
      </c>
      <c r="O574" t="str">
        <f t="shared" ca="1" si="43"/>
        <v>0-30 Days</v>
      </c>
    </row>
    <row r="575" spans="1:15" x14ac:dyDescent="0.3">
      <c r="A575" s="6" t="s">
        <v>1084</v>
      </c>
      <c r="B575" s="7" t="s">
        <v>794</v>
      </c>
      <c r="C575" s="6" t="s">
        <v>12</v>
      </c>
      <c r="D575" s="2" t="str">
        <f t="shared" si="40"/>
        <v>Feb</v>
      </c>
      <c r="E575" s="25" t="s">
        <v>247</v>
      </c>
      <c r="F575" s="21" t="s">
        <v>265</v>
      </c>
      <c r="G575" s="21" t="s">
        <v>48</v>
      </c>
      <c r="H575" s="21"/>
      <c r="I575" s="8">
        <v>45000</v>
      </c>
      <c r="J575" s="8">
        <v>0</v>
      </c>
      <c r="K575" s="12" t="s">
        <v>71</v>
      </c>
      <c r="L575">
        <f t="shared" si="41"/>
        <v>2</v>
      </c>
      <c r="M575">
        <f t="shared" ca="1" si="44"/>
        <v>482</v>
      </c>
      <c r="N575" s="15">
        <f t="shared" si="42"/>
        <v>45000</v>
      </c>
      <c r="O575" t="str">
        <f t="shared" ca="1" si="43"/>
        <v>90+ Days</v>
      </c>
    </row>
    <row r="576" spans="1:15" x14ac:dyDescent="0.3">
      <c r="A576" s="2" t="s">
        <v>1085</v>
      </c>
      <c r="B576" s="3" t="s">
        <v>434</v>
      </c>
      <c r="C576" s="2" t="s">
        <v>12</v>
      </c>
      <c r="D576" s="2" t="str">
        <f t="shared" si="40"/>
        <v>Jul</v>
      </c>
      <c r="E576" s="24" t="s">
        <v>69</v>
      </c>
      <c r="F576" s="20" t="s">
        <v>475</v>
      </c>
      <c r="G576" s="20" t="s">
        <v>480</v>
      </c>
      <c r="H576" s="20" t="s">
        <v>344</v>
      </c>
      <c r="I576" s="4">
        <v>35000</v>
      </c>
      <c r="J576" s="4">
        <v>35000</v>
      </c>
      <c r="K576" s="5" t="s">
        <v>17</v>
      </c>
      <c r="L576">
        <f t="shared" si="41"/>
        <v>2</v>
      </c>
      <c r="M576">
        <f t="shared" ca="1" si="44"/>
        <v>5</v>
      </c>
      <c r="N576" s="15">
        <f t="shared" si="42"/>
        <v>0</v>
      </c>
      <c r="O576" t="str">
        <f t="shared" ca="1" si="43"/>
        <v>0-30 Days</v>
      </c>
    </row>
    <row r="577" spans="1:15" x14ac:dyDescent="0.3">
      <c r="A577" s="6" t="s">
        <v>1086</v>
      </c>
      <c r="B577" s="7" t="s">
        <v>718</v>
      </c>
      <c r="C577" s="6" t="s">
        <v>12</v>
      </c>
      <c r="D577" s="2" t="str">
        <f t="shared" si="40"/>
        <v>Feb</v>
      </c>
      <c r="E577" s="25" t="s">
        <v>247</v>
      </c>
      <c r="F577" s="21" t="s">
        <v>314</v>
      </c>
      <c r="G577" s="21" t="s">
        <v>49</v>
      </c>
      <c r="H577" s="21" t="s">
        <v>467</v>
      </c>
      <c r="I577" s="8">
        <v>22000</v>
      </c>
      <c r="J577" s="8">
        <v>22000</v>
      </c>
      <c r="K577" s="9" t="s">
        <v>45</v>
      </c>
      <c r="L577">
        <f t="shared" si="41"/>
        <v>3</v>
      </c>
      <c r="M577">
        <f t="shared" ca="1" si="44"/>
        <v>53</v>
      </c>
      <c r="N577" s="15">
        <f t="shared" si="42"/>
        <v>0</v>
      </c>
      <c r="O577" t="str">
        <f t="shared" ca="1" si="43"/>
        <v>31-60 Days</v>
      </c>
    </row>
    <row r="578" spans="1:15" x14ac:dyDescent="0.3">
      <c r="A578" s="2" t="s">
        <v>1087</v>
      </c>
      <c r="B578" s="3" t="s">
        <v>802</v>
      </c>
      <c r="C578" s="2" t="s">
        <v>12</v>
      </c>
      <c r="D578" s="2" t="str">
        <f t="shared" si="40"/>
        <v>Feb</v>
      </c>
      <c r="E578" s="24" t="s">
        <v>199</v>
      </c>
      <c r="F578" s="20" t="s">
        <v>808</v>
      </c>
      <c r="G578" s="20" t="s">
        <v>809</v>
      </c>
      <c r="H578" s="20" t="s">
        <v>80</v>
      </c>
      <c r="I578" s="4">
        <v>12000</v>
      </c>
      <c r="J578" s="4">
        <v>12000</v>
      </c>
      <c r="K578" s="5" t="s">
        <v>17</v>
      </c>
      <c r="L578">
        <f t="shared" si="41"/>
        <v>3</v>
      </c>
      <c r="M578">
        <f t="shared" ca="1" si="44"/>
        <v>18</v>
      </c>
      <c r="N578" s="15">
        <f t="shared" si="42"/>
        <v>0</v>
      </c>
      <c r="O578" t="str">
        <f t="shared" ca="1" si="43"/>
        <v>0-30 Days</v>
      </c>
    </row>
    <row r="579" spans="1:15" x14ac:dyDescent="0.3">
      <c r="A579" s="6" t="s">
        <v>1088</v>
      </c>
      <c r="B579" s="7" t="s">
        <v>252</v>
      </c>
      <c r="C579" s="6" t="s">
        <v>12</v>
      </c>
      <c r="D579" s="2" t="str">
        <f t="shared" ref="D579:D642" si="45">MID(E579, 4, 3)</f>
        <v>Sep</v>
      </c>
      <c r="E579" s="25" t="s">
        <v>132</v>
      </c>
      <c r="F579" s="21" t="s">
        <v>116</v>
      </c>
      <c r="G579" s="21" t="s">
        <v>694</v>
      </c>
      <c r="H579" s="21"/>
      <c r="I579" s="8">
        <v>75000</v>
      </c>
      <c r="J579" s="8">
        <v>0</v>
      </c>
      <c r="K579" s="10" t="s">
        <v>57</v>
      </c>
      <c r="L579">
        <f t="shared" ref="L579:L642" si="46">F579-E579</f>
        <v>2</v>
      </c>
      <c r="M579">
        <f t="shared" ca="1" si="44"/>
        <v>276</v>
      </c>
      <c r="N579" s="15">
        <f t="shared" ref="N579:N642" si="47">I579-J579</f>
        <v>75000</v>
      </c>
      <c r="O579" t="str">
        <f t="shared" ref="O579:O642" ca="1" si="48">IF(M579&lt;=30,"0-30 Days",
IF(M579&lt;=60,"31-60 Days",
IF(M579&lt;=90,"61-90 Days","90+ Days")))</f>
        <v>90+ Days</v>
      </c>
    </row>
    <row r="580" spans="1:15" x14ac:dyDescent="0.3">
      <c r="A580" s="2" t="s">
        <v>1089</v>
      </c>
      <c r="B580" s="3" t="s">
        <v>500</v>
      </c>
      <c r="C580" s="2" t="s">
        <v>12</v>
      </c>
      <c r="D580" s="2" t="str">
        <f t="shared" si="45"/>
        <v>Oct</v>
      </c>
      <c r="E580" s="24" t="s">
        <v>174</v>
      </c>
      <c r="F580" s="20" t="s">
        <v>133</v>
      </c>
      <c r="G580" s="20" t="s">
        <v>326</v>
      </c>
      <c r="H580" s="20" t="s">
        <v>142</v>
      </c>
      <c r="I580" s="4">
        <v>20000</v>
      </c>
      <c r="J580" s="4">
        <v>20000</v>
      </c>
      <c r="K580" s="9" t="s">
        <v>45</v>
      </c>
      <c r="L580">
        <f t="shared" si="46"/>
        <v>3</v>
      </c>
      <c r="M580">
        <f t="shared" ref="M580:M643" ca="1" si="49">IF(H580="",TODAY()-F580,H580-F580)</f>
        <v>46</v>
      </c>
      <c r="N580" s="15">
        <f t="shared" si="47"/>
        <v>0</v>
      </c>
      <c r="O580" t="str">
        <f t="shared" ca="1" si="48"/>
        <v>31-60 Days</v>
      </c>
    </row>
    <row r="581" spans="1:15" x14ac:dyDescent="0.3">
      <c r="A581" s="6" t="s">
        <v>1090</v>
      </c>
      <c r="B581" s="7" t="s">
        <v>258</v>
      </c>
      <c r="C581" s="6" t="s">
        <v>33</v>
      </c>
      <c r="D581" s="2" t="str">
        <f t="shared" si="45"/>
        <v>Jun</v>
      </c>
      <c r="E581" s="25" t="s">
        <v>310</v>
      </c>
      <c r="F581" s="21" t="s">
        <v>741</v>
      </c>
      <c r="G581" s="21" t="s">
        <v>554</v>
      </c>
      <c r="H581" s="21" t="s">
        <v>991</v>
      </c>
      <c r="I581" s="8">
        <v>8000</v>
      </c>
      <c r="J581" s="8">
        <v>8000</v>
      </c>
      <c r="K581" s="5" t="s">
        <v>17</v>
      </c>
      <c r="L581">
        <f t="shared" si="46"/>
        <v>3</v>
      </c>
      <c r="M581">
        <f t="shared" ca="1" si="49"/>
        <v>25</v>
      </c>
      <c r="N581" s="15">
        <f t="shared" si="47"/>
        <v>0</v>
      </c>
      <c r="O581" t="str">
        <f t="shared" ca="1" si="48"/>
        <v>0-30 Days</v>
      </c>
    </row>
    <row r="582" spans="1:15" x14ac:dyDescent="0.3">
      <c r="A582" s="2" t="s">
        <v>1091</v>
      </c>
      <c r="B582" s="3" t="s">
        <v>258</v>
      </c>
      <c r="C582" s="2" t="s">
        <v>33</v>
      </c>
      <c r="D582" s="2" t="str">
        <f t="shared" si="45"/>
        <v>Aug</v>
      </c>
      <c r="E582" s="24" t="s">
        <v>60</v>
      </c>
      <c r="F582" s="20" t="s">
        <v>96</v>
      </c>
      <c r="G582" s="20" t="s">
        <v>118</v>
      </c>
      <c r="H582" s="20" t="s">
        <v>484</v>
      </c>
      <c r="I582" s="4">
        <v>15000</v>
      </c>
      <c r="J582" s="4">
        <v>7500</v>
      </c>
      <c r="K582" s="13" t="s">
        <v>113</v>
      </c>
      <c r="L582">
        <f t="shared" si="46"/>
        <v>1</v>
      </c>
      <c r="M582">
        <f t="shared" ca="1" si="49"/>
        <v>15</v>
      </c>
      <c r="N582" s="15">
        <f t="shared" si="47"/>
        <v>7500</v>
      </c>
      <c r="O582" t="str">
        <f t="shared" ca="1" si="48"/>
        <v>0-30 Days</v>
      </c>
    </row>
    <row r="583" spans="1:15" x14ac:dyDescent="0.3">
      <c r="A583" s="6" t="s">
        <v>1092</v>
      </c>
      <c r="B583" s="7" t="s">
        <v>716</v>
      </c>
      <c r="C583" s="6" t="s">
        <v>12</v>
      </c>
      <c r="D583" s="2" t="str">
        <f t="shared" si="45"/>
        <v>Jan</v>
      </c>
      <c r="E583" s="25" t="s">
        <v>1093</v>
      </c>
      <c r="F583" s="21" t="s">
        <v>1094</v>
      </c>
      <c r="G583" s="21" t="s">
        <v>199</v>
      </c>
      <c r="H583" s="21"/>
      <c r="I583" s="8">
        <v>30000</v>
      </c>
      <c r="J583" s="8">
        <v>0</v>
      </c>
      <c r="K583" s="11" t="s">
        <v>63</v>
      </c>
      <c r="L583">
        <f t="shared" si="46"/>
        <v>2</v>
      </c>
      <c r="M583">
        <f t="shared" ca="1" si="49"/>
        <v>529</v>
      </c>
      <c r="N583" s="15">
        <f t="shared" si="47"/>
        <v>30000</v>
      </c>
      <c r="O583" t="str">
        <f t="shared" ca="1" si="48"/>
        <v>90+ Days</v>
      </c>
    </row>
    <row r="584" spans="1:15" x14ac:dyDescent="0.3">
      <c r="A584" s="2" t="s">
        <v>1095</v>
      </c>
      <c r="B584" s="3" t="s">
        <v>285</v>
      </c>
      <c r="C584" s="2" t="s">
        <v>12</v>
      </c>
      <c r="D584" s="2" t="str">
        <f t="shared" si="45"/>
        <v>Nov</v>
      </c>
      <c r="E584" s="24" t="s">
        <v>92</v>
      </c>
      <c r="F584" s="20" t="s">
        <v>301</v>
      </c>
      <c r="G584" s="20" t="s">
        <v>653</v>
      </c>
      <c r="H584" s="20"/>
      <c r="I584" s="4">
        <v>25000</v>
      </c>
      <c r="J584" s="4">
        <v>0</v>
      </c>
      <c r="K584" s="10" t="s">
        <v>57</v>
      </c>
      <c r="L584">
        <f t="shared" si="46"/>
        <v>2</v>
      </c>
      <c r="M584">
        <f t="shared" ca="1" si="49"/>
        <v>197</v>
      </c>
      <c r="N584" s="15">
        <f t="shared" si="47"/>
        <v>25000</v>
      </c>
      <c r="O584" t="str">
        <f t="shared" ca="1" si="48"/>
        <v>90+ Days</v>
      </c>
    </row>
    <row r="585" spans="1:15" x14ac:dyDescent="0.3">
      <c r="A585" s="6" t="s">
        <v>1096</v>
      </c>
      <c r="B585" s="7" t="s">
        <v>47</v>
      </c>
      <c r="C585" s="6" t="s">
        <v>40</v>
      </c>
      <c r="D585" s="2" t="str">
        <f t="shared" si="45"/>
        <v>Feb</v>
      </c>
      <c r="E585" s="25" t="s">
        <v>247</v>
      </c>
      <c r="F585" s="21" t="s">
        <v>314</v>
      </c>
      <c r="G585" s="21" t="s">
        <v>49</v>
      </c>
      <c r="H585" s="21" t="s">
        <v>681</v>
      </c>
      <c r="I585" s="8">
        <v>100000</v>
      </c>
      <c r="J585" s="8">
        <v>100000</v>
      </c>
      <c r="K585" s="5" t="s">
        <v>17</v>
      </c>
      <c r="L585">
        <f t="shared" si="46"/>
        <v>3</v>
      </c>
      <c r="M585">
        <f t="shared" ca="1" si="49"/>
        <v>16</v>
      </c>
      <c r="N585" s="15">
        <f t="shared" si="47"/>
        <v>0</v>
      </c>
      <c r="O585" t="str">
        <f t="shared" ca="1" si="48"/>
        <v>0-30 Days</v>
      </c>
    </row>
    <row r="586" spans="1:15" x14ac:dyDescent="0.3">
      <c r="A586" s="2" t="s">
        <v>1097</v>
      </c>
      <c r="B586" s="3" t="s">
        <v>415</v>
      </c>
      <c r="C586" s="2" t="s">
        <v>12</v>
      </c>
      <c r="D586" s="2" t="str">
        <f t="shared" si="45"/>
        <v>Nov</v>
      </c>
      <c r="E586" s="24" t="s">
        <v>92</v>
      </c>
      <c r="F586" s="20" t="s">
        <v>465</v>
      </c>
      <c r="G586" s="20" t="s">
        <v>390</v>
      </c>
      <c r="H586" s="20" t="s">
        <v>631</v>
      </c>
      <c r="I586" s="4">
        <v>8000</v>
      </c>
      <c r="J586" s="4">
        <v>8000</v>
      </c>
      <c r="K586" s="5" t="s">
        <v>17</v>
      </c>
      <c r="L586">
        <f t="shared" si="46"/>
        <v>1</v>
      </c>
      <c r="M586">
        <f t="shared" ca="1" si="49"/>
        <v>14</v>
      </c>
      <c r="N586" s="15">
        <f t="shared" si="47"/>
        <v>0</v>
      </c>
      <c r="O586" t="str">
        <f t="shared" ca="1" si="48"/>
        <v>0-30 Days</v>
      </c>
    </row>
    <row r="587" spans="1:15" x14ac:dyDescent="0.3">
      <c r="A587" s="6" t="s">
        <v>1098</v>
      </c>
      <c r="B587" s="7" t="s">
        <v>651</v>
      </c>
      <c r="C587" s="6" t="s">
        <v>12</v>
      </c>
      <c r="D587" s="2" t="str">
        <f t="shared" si="45"/>
        <v>Dec</v>
      </c>
      <c r="E587" s="25" t="s">
        <v>663</v>
      </c>
      <c r="F587" s="21" t="s">
        <v>580</v>
      </c>
      <c r="G587" s="21" t="s">
        <v>581</v>
      </c>
      <c r="H587" s="21" t="s">
        <v>101</v>
      </c>
      <c r="I587" s="8">
        <v>18000</v>
      </c>
      <c r="J587" s="8">
        <v>18000</v>
      </c>
      <c r="K587" s="9" t="s">
        <v>45</v>
      </c>
      <c r="L587">
        <f t="shared" si="46"/>
        <v>1</v>
      </c>
      <c r="M587">
        <f t="shared" ca="1" si="49"/>
        <v>53</v>
      </c>
      <c r="N587" s="15">
        <f t="shared" si="47"/>
        <v>0</v>
      </c>
      <c r="O587" t="str">
        <f t="shared" ca="1" si="48"/>
        <v>31-60 Days</v>
      </c>
    </row>
    <row r="588" spans="1:15" x14ac:dyDescent="0.3">
      <c r="A588" s="2" t="s">
        <v>1099</v>
      </c>
      <c r="B588" s="3" t="s">
        <v>53</v>
      </c>
      <c r="C588" s="2" t="s">
        <v>40</v>
      </c>
      <c r="D588" s="2" t="str">
        <f t="shared" si="45"/>
        <v>Jan</v>
      </c>
      <c r="E588" s="24" t="s">
        <v>1093</v>
      </c>
      <c r="F588" s="20" t="s">
        <v>316</v>
      </c>
      <c r="G588" s="20" t="s">
        <v>230</v>
      </c>
      <c r="H588" s="20" t="s">
        <v>605</v>
      </c>
      <c r="I588" s="4">
        <v>35000</v>
      </c>
      <c r="J588" s="4">
        <v>35000</v>
      </c>
      <c r="K588" s="5" t="s">
        <v>17</v>
      </c>
      <c r="L588">
        <f t="shared" si="46"/>
        <v>1</v>
      </c>
      <c r="M588">
        <f t="shared" ca="1" si="49"/>
        <v>23</v>
      </c>
      <c r="N588" s="15">
        <f t="shared" si="47"/>
        <v>0</v>
      </c>
      <c r="O588" t="str">
        <f t="shared" ca="1" si="48"/>
        <v>0-30 Days</v>
      </c>
    </row>
    <row r="589" spans="1:15" x14ac:dyDescent="0.3">
      <c r="A589" s="6" t="s">
        <v>1100</v>
      </c>
      <c r="B589" s="7" t="s">
        <v>198</v>
      </c>
      <c r="C589" s="6" t="s">
        <v>26</v>
      </c>
      <c r="D589" s="2" t="str">
        <f t="shared" si="45"/>
        <v>Sep</v>
      </c>
      <c r="E589" s="25" t="s">
        <v>599</v>
      </c>
      <c r="F589" s="21" t="s">
        <v>62</v>
      </c>
      <c r="G589" s="21" t="s">
        <v>125</v>
      </c>
      <c r="H589" s="21" t="s">
        <v>307</v>
      </c>
      <c r="I589" s="8">
        <v>22000</v>
      </c>
      <c r="J589" s="8">
        <v>22000</v>
      </c>
      <c r="K589" s="5" t="s">
        <v>17</v>
      </c>
      <c r="L589">
        <f t="shared" si="46"/>
        <v>3</v>
      </c>
      <c r="M589">
        <f t="shared" ca="1" si="49"/>
        <v>27</v>
      </c>
      <c r="N589" s="15">
        <f t="shared" si="47"/>
        <v>0</v>
      </c>
      <c r="O589" t="str">
        <f t="shared" ca="1" si="48"/>
        <v>0-30 Days</v>
      </c>
    </row>
    <row r="590" spans="1:15" x14ac:dyDescent="0.3">
      <c r="A590" s="2" t="s">
        <v>1101</v>
      </c>
      <c r="B590" s="3" t="s">
        <v>500</v>
      </c>
      <c r="C590" s="2" t="s">
        <v>12</v>
      </c>
      <c r="D590" s="2" t="str">
        <f t="shared" si="45"/>
        <v>Mar</v>
      </c>
      <c r="E590" s="24" t="s">
        <v>470</v>
      </c>
      <c r="F590" s="20" t="s">
        <v>232</v>
      </c>
      <c r="G590" s="20" t="s">
        <v>237</v>
      </c>
      <c r="H590" s="20" t="s">
        <v>976</v>
      </c>
      <c r="I590" s="4">
        <v>20000</v>
      </c>
      <c r="J590" s="4">
        <v>20000</v>
      </c>
      <c r="K590" s="5" t="s">
        <v>17</v>
      </c>
      <c r="L590">
        <f t="shared" si="46"/>
        <v>2</v>
      </c>
      <c r="M590">
        <f t="shared" ca="1" si="49"/>
        <v>12</v>
      </c>
      <c r="N590" s="15">
        <f t="shared" si="47"/>
        <v>0</v>
      </c>
      <c r="O590" t="str">
        <f t="shared" ca="1" si="48"/>
        <v>0-30 Days</v>
      </c>
    </row>
    <row r="591" spans="1:15" x14ac:dyDescent="0.3">
      <c r="A591" s="6" t="s">
        <v>1102</v>
      </c>
      <c r="B591" s="7" t="s">
        <v>439</v>
      </c>
      <c r="C591" s="6" t="s">
        <v>12</v>
      </c>
      <c r="D591" s="2" t="str">
        <f t="shared" si="45"/>
        <v>Feb</v>
      </c>
      <c r="E591" s="25" t="s">
        <v>358</v>
      </c>
      <c r="F591" s="21" t="s">
        <v>248</v>
      </c>
      <c r="G591" s="21" t="s">
        <v>249</v>
      </c>
      <c r="H591" s="21" t="s">
        <v>201</v>
      </c>
      <c r="I591" s="8">
        <v>15000</v>
      </c>
      <c r="J591" s="8">
        <v>15000</v>
      </c>
      <c r="K591" s="5" t="s">
        <v>17</v>
      </c>
      <c r="L591">
        <f t="shared" si="46"/>
        <v>3</v>
      </c>
      <c r="M591">
        <f t="shared" ca="1" si="49"/>
        <v>16</v>
      </c>
      <c r="N591" s="15">
        <f t="shared" si="47"/>
        <v>0</v>
      </c>
      <c r="O591" t="str">
        <f t="shared" ca="1" si="48"/>
        <v>0-30 Days</v>
      </c>
    </row>
    <row r="592" spans="1:15" x14ac:dyDescent="0.3">
      <c r="A592" s="2" t="s">
        <v>1103</v>
      </c>
      <c r="B592" s="3" t="s">
        <v>165</v>
      </c>
      <c r="C592" s="2" t="s">
        <v>26</v>
      </c>
      <c r="D592" s="2" t="str">
        <f t="shared" si="45"/>
        <v>Mar</v>
      </c>
      <c r="E592" s="24" t="s">
        <v>217</v>
      </c>
      <c r="F592" s="20" t="s">
        <v>202</v>
      </c>
      <c r="G592" s="20" t="s">
        <v>240</v>
      </c>
      <c r="H592" s="20" t="s">
        <v>163</v>
      </c>
      <c r="I592" s="4">
        <v>20000</v>
      </c>
      <c r="J592" s="4">
        <v>20000</v>
      </c>
      <c r="K592" s="9" t="s">
        <v>45</v>
      </c>
      <c r="L592">
        <f t="shared" si="46"/>
        <v>2</v>
      </c>
      <c r="M592">
        <f t="shared" ca="1" si="49"/>
        <v>52</v>
      </c>
      <c r="N592" s="15">
        <f t="shared" si="47"/>
        <v>0</v>
      </c>
      <c r="O592" t="str">
        <f t="shared" ca="1" si="48"/>
        <v>31-60 Days</v>
      </c>
    </row>
    <row r="593" spans="1:15" x14ac:dyDescent="0.3">
      <c r="A593" s="6" t="s">
        <v>1104</v>
      </c>
      <c r="B593" s="7" t="s">
        <v>407</v>
      </c>
      <c r="C593" s="6" t="s">
        <v>33</v>
      </c>
      <c r="D593" s="2" t="str">
        <f t="shared" si="45"/>
        <v>Feb</v>
      </c>
      <c r="E593" s="25" t="s">
        <v>808</v>
      </c>
      <c r="F593" s="21" t="s">
        <v>649</v>
      </c>
      <c r="G593" s="21" t="s">
        <v>250</v>
      </c>
      <c r="H593" s="21" t="s">
        <v>331</v>
      </c>
      <c r="I593" s="8">
        <v>5000</v>
      </c>
      <c r="J593" s="8">
        <v>5000</v>
      </c>
      <c r="K593" s="9" t="s">
        <v>45</v>
      </c>
      <c r="L593">
        <f t="shared" si="46"/>
        <v>3</v>
      </c>
      <c r="M593">
        <f t="shared" ca="1" si="49"/>
        <v>36</v>
      </c>
      <c r="N593" s="15">
        <f t="shared" si="47"/>
        <v>0</v>
      </c>
      <c r="O593" t="str">
        <f t="shared" ca="1" si="48"/>
        <v>31-60 Days</v>
      </c>
    </row>
    <row r="594" spans="1:15" x14ac:dyDescent="0.3">
      <c r="A594" s="2" t="s">
        <v>1105</v>
      </c>
      <c r="B594" s="3" t="s">
        <v>242</v>
      </c>
      <c r="C594" s="2" t="s">
        <v>12</v>
      </c>
      <c r="D594" s="2" t="str">
        <f t="shared" si="45"/>
        <v>Jun</v>
      </c>
      <c r="E594" s="24" t="s">
        <v>353</v>
      </c>
      <c r="F594" s="20" t="s">
        <v>354</v>
      </c>
      <c r="G594" s="20" t="s">
        <v>227</v>
      </c>
      <c r="H594" s="20" t="s">
        <v>820</v>
      </c>
      <c r="I594" s="4">
        <v>30000</v>
      </c>
      <c r="J594" s="4">
        <v>30000</v>
      </c>
      <c r="K594" s="9" t="s">
        <v>45</v>
      </c>
      <c r="L594">
        <f t="shared" si="46"/>
        <v>3</v>
      </c>
      <c r="M594">
        <f t="shared" ca="1" si="49"/>
        <v>35</v>
      </c>
      <c r="N594" s="15">
        <f t="shared" si="47"/>
        <v>0</v>
      </c>
      <c r="O594" t="str">
        <f t="shared" ca="1" si="48"/>
        <v>31-60 Days</v>
      </c>
    </row>
    <row r="595" spans="1:15" x14ac:dyDescent="0.3">
      <c r="A595" s="6" t="s">
        <v>1106</v>
      </c>
      <c r="B595" s="7" t="s">
        <v>221</v>
      </c>
      <c r="C595" s="6" t="s">
        <v>12</v>
      </c>
      <c r="D595" s="2" t="str">
        <f t="shared" si="45"/>
        <v>Nov</v>
      </c>
      <c r="E595" s="25" t="s">
        <v>495</v>
      </c>
      <c r="F595" s="21" t="s">
        <v>36</v>
      </c>
      <c r="G595" s="21" t="s">
        <v>145</v>
      </c>
      <c r="H595" s="21"/>
      <c r="I595" s="8">
        <v>22000</v>
      </c>
      <c r="J595" s="8">
        <v>0</v>
      </c>
      <c r="K595" s="10" t="s">
        <v>57</v>
      </c>
      <c r="L595">
        <f t="shared" si="46"/>
        <v>3</v>
      </c>
      <c r="M595">
        <f t="shared" ca="1" si="49"/>
        <v>213</v>
      </c>
      <c r="N595" s="15">
        <f t="shared" si="47"/>
        <v>22000</v>
      </c>
      <c r="O595" t="str">
        <f t="shared" ca="1" si="48"/>
        <v>90+ Days</v>
      </c>
    </row>
    <row r="596" spans="1:15" x14ac:dyDescent="0.3">
      <c r="A596" s="2" t="s">
        <v>1107</v>
      </c>
      <c r="B596" s="3" t="s">
        <v>492</v>
      </c>
      <c r="C596" s="2" t="s">
        <v>26</v>
      </c>
      <c r="D596" s="2" t="str">
        <f t="shared" si="45"/>
        <v>Feb</v>
      </c>
      <c r="E596" s="24" t="s">
        <v>79</v>
      </c>
      <c r="F596" s="20" t="s">
        <v>20</v>
      </c>
      <c r="G596" s="20" t="s">
        <v>298</v>
      </c>
      <c r="H596" s="20" t="s">
        <v>238</v>
      </c>
      <c r="I596" s="4">
        <v>15000</v>
      </c>
      <c r="J596" s="4">
        <v>15000</v>
      </c>
      <c r="K596" s="9" t="s">
        <v>45</v>
      </c>
      <c r="L596">
        <f t="shared" si="46"/>
        <v>1</v>
      </c>
      <c r="M596">
        <f t="shared" ca="1" si="49"/>
        <v>43</v>
      </c>
      <c r="N596" s="15">
        <f t="shared" si="47"/>
        <v>0</v>
      </c>
      <c r="O596" t="str">
        <f t="shared" ca="1" si="48"/>
        <v>31-60 Days</v>
      </c>
    </row>
    <row r="597" spans="1:15" x14ac:dyDescent="0.3">
      <c r="A597" s="6" t="s">
        <v>1108</v>
      </c>
      <c r="B597" s="7" t="s">
        <v>347</v>
      </c>
      <c r="C597" s="6" t="s">
        <v>12</v>
      </c>
      <c r="D597" s="2" t="str">
        <f t="shared" si="45"/>
        <v>Aug</v>
      </c>
      <c r="E597" s="25" t="s">
        <v>472</v>
      </c>
      <c r="F597" s="21" t="s">
        <v>87</v>
      </c>
      <c r="G597" s="21" t="s">
        <v>484</v>
      </c>
      <c r="H597" s="21" t="s">
        <v>399</v>
      </c>
      <c r="I597" s="8">
        <v>20000</v>
      </c>
      <c r="J597" s="8">
        <v>20000</v>
      </c>
      <c r="K597" s="5" t="s">
        <v>17</v>
      </c>
      <c r="L597">
        <f t="shared" si="46"/>
        <v>2</v>
      </c>
      <c r="M597">
        <f t="shared" ca="1" si="49"/>
        <v>25</v>
      </c>
      <c r="N597" s="15">
        <f t="shared" si="47"/>
        <v>0</v>
      </c>
      <c r="O597" t="str">
        <f t="shared" ca="1" si="48"/>
        <v>0-30 Days</v>
      </c>
    </row>
    <row r="598" spans="1:15" x14ac:dyDescent="0.3">
      <c r="A598" s="2" t="s">
        <v>1109</v>
      </c>
      <c r="B598" s="3" t="s">
        <v>180</v>
      </c>
      <c r="C598" s="2" t="s">
        <v>33</v>
      </c>
      <c r="D598" s="2" t="str">
        <f t="shared" si="45"/>
        <v>May</v>
      </c>
      <c r="E598" s="24" t="s">
        <v>235</v>
      </c>
      <c r="F598" s="20" t="s">
        <v>366</v>
      </c>
      <c r="G598" s="20" t="s">
        <v>474</v>
      </c>
      <c r="H598" s="20"/>
      <c r="I598" s="4">
        <v>60000</v>
      </c>
      <c r="J598" s="4">
        <v>0</v>
      </c>
      <c r="K598" s="12" t="s">
        <v>71</v>
      </c>
      <c r="L598">
        <f t="shared" si="46"/>
        <v>3</v>
      </c>
      <c r="M598">
        <f t="shared" ca="1" si="49"/>
        <v>401</v>
      </c>
      <c r="N598" s="15">
        <f t="shared" si="47"/>
        <v>60000</v>
      </c>
      <c r="O598" t="str">
        <f t="shared" ca="1" si="48"/>
        <v>90+ Days</v>
      </c>
    </row>
    <row r="599" spans="1:15" x14ac:dyDescent="0.3">
      <c r="A599" s="6" t="s">
        <v>1110</v>
      </c>
      <c r="B599" s="7" t="s">
        <v>434</v>
      </c>
      <c r="C599" s="6" t="s">
        <v>12</v>
      </c>
      <c r="D599" s="2" t="str">
        <f t="shared" si="45"/>
        <v>Jan</v>
      </c>
      <c r="E599" s="25" t="s">
        <v>455</v>
      </c>
      <c r="F599" s="21" t="s">
        <v>28</v>
      </c>
      <c r="G599" s="21" t="s">
        <v>29</v>
      </c>
      <c r="H599" s="21" t="s">
        <v>30</v>
      </c>
      <c r="I599" s="8">
        <v>60000</v>
      </c>
      <c r="J599" s="8">
        <v>60000</v>
      </c>
      <c r="K599" s="5" t="s">
        <v>17</v>
      </c>
      <c r="L599">
        <f t="shared" si="46"/>
        <v>3</v>
      </c>
      <c r="M599">
        <f t="shared" ca="1" si="49"/>
        <v>24</v>
      </c>
      <c r="N599" s="15">
        <f t="shared" si="47"/>
        <v>0</v>
      </c>
      <c r="O599" t="str">
        <f t="shared" ca="1" si="48"/>
        <v>0-30 Days</v>
      </c>
    </row>
    <row r="600" spans="1:15" x14ac:dyDescent="0.3">
      <c r="A600" s="2" t="s">
        <v>1111</v>
      </c>
      <c r="B600" s="3" t="s">
        <v>130</v>
      </c>
      <c r="C600" s="2" t="s">
        <v>12</v>
      </c>
      <c r="D600" s="2" t="str">
        <f t="shared" si="45"/>
        <v>Apr</v>
      </c>
      <c r="E600" s="24" t="s">
        <v>423</v>
      </c>
      <c r="F600" s="20" t="s">
        <v>403</v>
      </c>
      <c r="G600" s="20" t="s">
        <v>559</v>
      </c>
      <c r="H600" s="20" t="s">
        <v>977</v>
      </c>
      <c r="I600" s="4">
        <v>12000</v>
      </c>
      <c r="J600" s="4">
        <v>12000</v>
      </c>
      <c r="K600" s="5" t="s">
        <v>17</v>
      </c>
      <c r="L600">
        <f t="shared" si="46"/>
        <v>3</v>
      </c>
      <c r="M600">
        <f t="shared" ca="1" si="49"/>
        <v>6</v>
      </c>
      <c r="N600" s="15">
        <f t="shared" si="47"/>
        <v>0</v>
      </c>
      <c r="O600" t="str">
        <f t="shared" ca="1" si="48"/>
        <v>0-30 Days</v>
      </c>
    </row>
    <row r="601" spans="1:15" x14ac:dyDescent="0.3">
      <c r="A601" s="6" t="s">
        <v>1112</v>
      </c>
      <c r="B601" s="7" t="s">
        <v>258</v>
      </c>
      <c r="C601" s="6" t="s">
        <v>33</v>
      </c>
      <c r="D601" s="2" t="str">
        <f t="shared" si="45"/>
        <v>May</v>
      </c>
      <c r="E601" s="25" t="s">
        <v>383</v>
      </c>
      <c r="F601" s="21" t="s">
        <v>163</v>
      </c>
      <c r="G601" s="21" t="s">
        <v>792</v>
      </c>
      <c r="H601" s="21" t="s">
        <v>426</v>
      </c>
      <c r="I601" s="8">
        <v>12000</v>
      </c>
      <c r="J601" s="8">
        <v>12000</v>
      </c>
      <c r="K601" s="5" t="s">
        <v>17</v>
      </c>
      <c r="L601">
        <f t="shared" si="46"/>
        <v>2</v>
      </c>
      <c r="M601">
        <f t="shared" ca="1" si="49"/>
        <v>20</v>
      </c>
      <c r="N601" s="15">
        <f t="shared" si="47"/>
        <v>0</v>
      </c>
      <c r="O601" t="str">
        <f t="shared" ca="1" si="48"/>
        <v>0-30 Days</v>
      </c>
    </row>
    <row r="602" spans="1:15" x14ac:dyDescent="0.3">
      <c r="A602" s="2" t="s">
        <v>1113</v>
      </c>
      <c r="B602" s="3" t="s">
        <v>11</v>
      </c>
      <c r="C602" s="2" t="s">
        <v>12</v>
      </c>
      <c r="D602" s="2" t="str">
        <f t="shared" si="45"/>
        <v>Nov</v>
      </c>
      <c r="E602" s="24" t="s">
        <v>269</v>
      </c>
      <c r="F602" s="20" t="s">
        <v>140</v>
      </c>
      <c r="G602" s="20" t="s">
        <v>270</v>
      </c>
      <c r="H602" s="20" t="s">
        <v>362</v>
      </c>
      <c r="I602" s="4">
        <v>45000</v>
      </c>
      <c r="J602" s="4">
        <v>22500</v>
      </c>
      <c r="K602" s="13" t="s">
        <v>113</v>
      </c>
      <c r="L602">
        <f t="shared" si="46"/>
        <v>1</v>
      </c>
      <c r="M602">
        <f t="shared" ca="1" si="49"/>
        <v>5</v>
      </c>
      <c r="N602" s="15">
        <f t="shared" si="47"/>
        <v>22500</v>
      </c>
      <c r="O602" t="str">
        <f t="shared" ca="1" si="48"/>
        <v>0-30 Days</v>
      </c>
    </row>
    <row r="603" spans="1:15" x14ac:dyDescent="0.3">
      <c r="A603" s="6" t="s">
        <v>1114</v>
      </c>
      <c r="B603" s="7" t="s">
        <v>431</v>
      </c>
      <c r="C603" s="6" t="s">
        <v>12</v>
      </c>
      <c r="D603" s="2" t="str">
        <f t="shared" si="45"/>
        <v>Mar</v>
      </c>
      <c r="E603" s="25" t="s">
        <v>16</v>
      </c>
      <c r="F603" s="21" t="s">
        <v>82</v>
      </c>
      <c r="G603" s="21" t="s">
        <v>403</v>
      </c>
      <c r="H603" s="21" t="s">
        <v>238</v>
      </c>
      <c r="I603" s="8">
        <v>18000</v>
      </c>
      <c r="J603" s="8">
        <v>18000</v>
      </c>
      <c r="K603" s="5" t="s">
        <v>17</v>
      </c>
      <c r="L603">
        <f t="shared" si="46"/>
        <v>2</v>
      </c>
      <c r="M603">
        <f t="shared" ca="1" si="49"/>
        <v>26</v>
      </c>
      <c r="N603" s="15">
        <f t="shared" si="47"/>
        <v>0</v>
      </c>
      <c r="O603" t="str">
        <f t="shared" ca="1" si="48"/>
        <v>0-30 Days</v>
      </c>
    </row>
    <row r="604" spans="1:15" x14ac:dyDescent="0.3">
      <c r="A604" s="2" t="s">
        <v>1115</v>
      </c>
      <c r="B604" s="3" t="s">
        <v>336</v>
      </c>
      <c r="C604" s="2" t="s">
        <v>26</v>
      </c>
      <c r="D604" s="2" t="str">
        <f t="shared" si="45"/>
        <v>Aug</v>
      </c>
      <c r="E604" s="24" t="s">
        <v>908</v>
      </c>
      <c r="F604" s="20" t="s">
        <v>228</v>
      </c>
      <c r="G604" s="20" t="s">
        <v>172</v>
      </c>
      <c r="H604" s="20" t="s">
        <v>183</v>
      </c>
      <c r="I604" s="4">
        <v>5000</v>
      </c>
      <c r="J604" s="4">
        <v>5000</v>
      </c>
      <c r="K604" s="9" t="s">
        <v>45</v>
      </c>
      <c r="L604">
        <f t="shared" si="46"/>
        <v>1</v>
      </c>
      <c r="M604">
        <f t="shared" ca="1" si="49"/>
        <v>31</v>
      </c>
      <c r="N604" s="15">
        <f t="shared" si="47"/>
        <v>0</v>
      </c>
      <c r="O604" t="str">
        <f t="shared" ca="1" si="48"/>
        <v>31-60 Days</v>
      </c>
    </row>
    <row r="605" spans="1:15" x14ac:dyDescent="0.3">
      <c r="A605" s="6" t="s">
        <v>1116</v>
      </c>
      <c r="B605" s="7" t="s">
        <v>255</v>
      </c>
      <c r="C605" s="6" t="s">
        <v>26</v>
      </c>
      <c r="D605" s="2" t="str">
        <f t="shared" si="45"/>
        <v>Apr</v>
      </c>
      <c r="E605" s="25" t="s">
        <v>50</v>
      </c>
      <c r="F605" s="21" t="s">
        <v>435</v>
      </c>
      <c r="G605" s="21" t="s">
        <v>425</v>
      </c>
      <c r="H605" s="21"/>
      <c r="I605" s="8">
        <v>8000</v>
      </c>
      <c r="J605" s="8">
        <v>0</v>
      </c>
      <c r="K605" s="11" t="s">
        <v>63</v>
      </c>
      <c r="L605">
        <f t="shared" si="46"/>
        <v>1</v>
      </c>
      <c r="M605">
        <f t="shared" ca="1" si="49"/>
        <v>420</v>
      </c>
      <c r="N605" s="15">
        <f t="shared" si="47"/>
        <v>8000</v>
      </c>
      <c r="O605" t="str">
        <f t="shared" ca="1" si="48"/>
        <v>90+ Days</v>
      </c>
    </row>
    <row r="606" spans="1:15" x14ac:dyDescent="0.3">
      <c r="A606" s="2" t="s">
        <v>1117</v>
      </c>
      <c r="B606" s="3" t="s">
        <v>876</v>
      </c>
      <c r="C606" s="2" t="s">
        <v>12</v>
      </c>
      <c r="D606" s="2" t="str">
        <f t="shared" si="45"/>
        <v>Sep</v>
      </c>
      <c r="E606" s="24" t="s">
        <v>322</v>
      </c>
      <c r="F606" s="20" t="s">
        <v>375</v>
      </c>
      <c r="G606" s="20" t="s">
        <v>376</v>
      </c>
      <c r="H606" s="20"/>
      <c r="I606" s="4">
        <v>45000</v>
      </c>
      <c r="J606" s="4">
        <v>0</v>
      </c>
      <c r="K606" s="12" t="s">
        <v>71</v>
      </c>
      <c r="L606">
        <f t="shared" si="46"/>
        <v>2</v>
      </c>
      <c r="M606">
        <f t="shared" ca="1" si="49"/>
        <v>270</v>
      </c>
      <c r="N606" s="15">
        <f t="shared" si="47"/>
        <v>45000</v>
      </c>
      <c r="O606" t="str">
        <f t="shared" ca="1" si="48"/>
        <v>90+ Days</v>
      </c>
    </row>
    <row r="607" spans="1:15" x14ac:dyDescent="0.3">
      <c r="A607" s="6" t="s">
        <v>1118</v>
      </c>
      <c r="B607" s="7" t="s">
        <v>124</v>
      </c>
      <c r="C607" s="6" t="s">
        <v>12</v>
      </c>
      <c r="D607" s="2" t="str">
        <f t="shared" si="45"/>
        <v>Dec</v>
      </c>
      <c r="E607" s="25" t="s">
        <v>580</v>
      </c>
      <c r="F607" s="21" t="s">
        <v>544</v>
      </c>
      <c r="G607" s="21" t="s">
        <v>840</v>
      </c>
      <c r="H607" s="21" t="s">
        <v>1119</v>
      </c>
      <c r="I607" s="8">
        <v>10000</v>
      </c>
      <c r="J607" s="8">
        <v>10000</v>
      </c>
      <c r="K607" s="9" t="s">
        <v>45</v>
      </c>
      <c r="L607">
        <f t="shared" si="46"/>
        <v>2</v>
      </c>
      <c r="M607">
        <f t="shared" ca="1" si="49"/>
        <v>48</v>
      </c>
      <c r="N607" s="15">
        <f t="shared" si="47"/>
        <v>0</v>
      </c>
      <c r="O607" t="str">
        <f t="shared" ca="1" si="48"/>
        <v>31-60 Days</v>
      </c>
    </row>
    <row r="608" spans="1:15" x14ac:dyDescent="0.3">
      <c r="A608" s="2" t="s">
        <v>1120</v>
      </c>
      <c r="B608" s="3" t="s">
        <v>300</v>
      </c>
      <c r="C608" s="2" t="s">
        <v>12</v>
      </c>
      <c r="D608" s="2" t="str">
        <f t="shared" si="45"/>
        <v>Mar</v>
      </c>
      <c r="E608" s="24" t="s">
        <v>249</v>
      </c>
      <c r="F608" s="20" t="s">
        <v>49</v>
      </c>
      <c r="G608" s="20" t="s">
        <v>50</v>
      </c>
      <c r="H608" s="20" t="s">
        <v>477</v>
      </c>
      <c r="I608" s="4">
        <v>10000</v>
      </c>
      <c r="J608" s="4">
        <v>10000</v>
      </c>
      <c r="K608" s="5" t="s">
        <v>17</v>
      </c>
      <c r="L608">
        <f t="shared" si="46"/>
        <v>2</v>
      </c>
      <c r="M608">
        <f t="shared" ca="1" si="49"/>
        <v>21</v>
      </c>
      <c r="N608" s="15">
        <f t="shared" si="47"/>
        <v>0</v>
      </c>
      <c r="O608" t="str">
        <f t="shared" ca="1" si="48"/>
        <v>0-30 Days</v>
      </c>
    </row>
    <row r="609" spans="1:15" x14ac:dyDescent="0.3">
      <c r="A609" s="6" t="s">
        <v>1121</v>
      </c>
      <c r="B609" s="7" t="s">
        <v>280</v>
      </c>
      <c r="C609" s="6" t="s">
        <v>33</v>
      </c>
      <c r="D609" s="2" t="str">
        <f t="shared" si="45"/>
        <v>Mar</v>
      </c>
      <c r="E609" s="25" t="s">
        <v>48</v>
      </c>
      <c r="F609" s="21" t="s">
        <v>298</v>
      </c>
      <c r="G609" s="21" t="s">
        <v>204</v>
      </c>
      <c r="H609" s="21" t="s">
        <v>890</v>
      </c>
      <c r="I609" s="8">
        <v>75000</v>
      </c>
      <c r="J609" s="8">
        <v>75000</v>
      </c>
      <c r="K609" s="5" t="s">
        <v>17</v>
      </c>
      <c r="L609">
        <f t="shared" si="46"/>
        <v>3</v>
      </c>
      <c r="M609">
        <f t="shared" ca="1" si="49"/>
        <v>25</v>
      </c>
      <c r="N609" s="15">
        <f t="shared" si="47"/>
        <v>0</v>
      </c>
      <c r="O609" t="str">
        <f t="shared" ca="1" si="48"/>
        <v>0-30 Days</v>
      </c>
    </row>
    <row r="610" spans="1:15" x14ac:dyDescent="0.3">
      <c r="A610" s="2" t="s">
        <v>1122</v>
      </c>
      <c r="B610" s="3" t="s">
        <v>160</v>
      </c>
      <c r="C610" s="2" t="s">
        <v>40</v>
      </c>
      <c r="D610" s="2" t="str">
        <f t="shared" si="45"/>
        <v>Nov</v>
      </c>
      <c r="E610" s="24" t="s">
        <v>92</v>
      </c>
      <c r="F610" s="20" t="s">
        <v>270</v>
      </c>
      <c r="G610" s="20" t="s">
        <v>138</v>
      </c>
      <c r="H610" s="20" t="s">
        <v>189</v>
      </c>
      <c r="I610" s="4">
        <v>10000</v>
      </c>
      <c r="J610" s="4">
        <v>10000</v>
      </c>
      <c r="K610" s="5" t="s">
        <v>17</v>
      </c>
      <c r="L610">
        <f t="shared" si="46"/>
        <v>3</v>
      </c>
      <c r="M610">
        <f t="shared" ca="1" si="49"/>
        <v>18</v>
      </c>
      <c r="N610" s="15">
        <f t="shared" si="47"/>
        <v>0</v>
      </c>
      <c r="O610" t="str">
        <f t="shared" ca="1" si="48"/>
        <v>0-30 Days</v>
      </c>
    </row>
    <row r="611" spans="1:15" x14ac:dyDescent="0.3">
      <c r="A611" s="6" t="s">
        <v>1123</v>
      </c>
      <c r="B611" s="7" t="s">
        <v>59</v>
      </c>
      <c r="C611" s="6" t="s">
        <v>12</v>
      </c>
      <c r="D611" s="2" t="str">
        <f t="shared" si="45"/>
        <v>May</v>
      </c>
      <c r="E611" s="25" t="s">
        <v>383</v>
      </c>
      <c r="F611" s="21" t="s">
        <v>411</v>
      </c>
      <c r="G611" s="21" t="s">
        <v>369</v>
      </c>
      <c r="H611" s="21" t="s">
        <v>425</v>
      </c>
      <c r="I611" s="8">
        <v>40000</v>
      </c>
      <c r="J611" s="8">
        <v>40000</v>
      </c>
      <c r="K611" s="5" t="s">
        <v>17</v>
      </c>
      <c r="L611">
        <f t="shared" si="46"/>
        <v>1</v>
      </c>
      <c r="M611">
        <f t="shared" ca="1" si="49"/>
        <v>18</v>
      </c>
      <c r="N611" s="15">
        <f t="shared" si="47"/>
        <v>0</v>
      </c>
      <c r="O611" t="str">
        <f t="shared" ca="1" si="48"/>
        <v>0-30 Days</v>
      </c>
    </row>
    <row r="612" spans="1:15" x14ac:dyDescent="0.3">
      <c r="A612" s="2" t="s">
        <v>1124</v>
      </c>
      <c r="B612" s="3" t="s">
        <v>587</v>
      </c>
      <c r="C612" s="2" t="s">
        <v>26</v>
      </c>
      <c r="D612" s="2" t="str">
        <f t="shared" si="45"/>
        <v>Aug</v>
      </c>
      <c r="E612" s="24" t="s">
        <v>156</v>
      </c>
      <c r="F612" s="20" t="s">
        <v>60</v>
      </c>
      <c r="G612" s="20" t="s">
        <v>599</v>
      </c>
      <c r="H612" s="20" t="s">
        <v>158</v>
      </c>
      <c r="I612" s="4">
        <v>8000</v>
      </c>
      <c r="J612" s="4">
        <v>8000</v>
      </c>
      <c r="K612" s="5" t="s">
        <v>17</v>
      </c>
      <c r="L612">
        <f t="shared" si="46"/>
        <v>3</v>
      </c>
      <c r="M612">
        <f t="shared" ca="1" si="49"/>
        <v>28</v>
      </c>
      <c r="N612" s="15">
        <f t="shared" si="47"/>
        <v>0</v>
      </c>
      <c r="O612" t="str">
        <f t="shared" ca="1" si="48"/>
        <v>0-30 Days</v>
      </c>
    </row>
    <row r="613" spans="1:15" x14ac:dyDescent="0.3">
      <c r="A613" s="6" t="s">
        <v>1125</v>
      </c>
      <c r="B613" s="7" t="s">
        <v>277</v>
      </c>
      <c r="C613" s="6" t="s">
        <v>12</v>
      </c>
      <c r="D613" s="2" t="str">
        <f t="shared" si="45"/>
        <v>Mar</v>
      </c>
      <c r="E613" s="25" t="s">
        <v>381</v>
      </c>
      <c r="F613" s="21" t="s">
        <v>219</v>
      </c>
      <c r="G613" s="21" t="s">
        <v>577</v>
      </c>
      <c r="H613" s="21"/>
      <c r="I613" s="8">
        <v>5000</v>
      </c>
      <c r="J613" s="8">
        <v>0</v>
      </c>
      <c r="K613" s="12" t="s">
        <v>71</v>
      </c>
      <c r="L613">
        <f t="shared" si="46"/>
        <v>1</v>
      </c>
      <c r="M613">
        <f t="shared" ca="1" si="49"/>
        <v>441</v>
      </c>
      <c r="N613" s="15">
        <f t="shared" si="47"/>
        <v>5000</v>
      </c>
      <c r="O613" t="str">
        <f t="shared" ca="1" si="48"/>
        <v>90+ Days</v>
      </c>
    </row>
    <row r="614" spans="1:15" x14ac:dyDescent="0.3">
      <c r="A614" s="2" t="s">
        <v>1126</v>
      </c>
      <c r="B614" s="3" t="s">
        <v>553</v>
      </c>
      <c r="C614" s="2" t="s">
        <v>12</v>
      </c>
      <c r="D614" s="2" t="str">
        <f t="shared" si="45"/>
        <v>Jan</v>
      </c>
      <c r="E614" s="24" t="s">
        <v>1127</v>
      </c>
      <c r="F614" s="20" t="s">
        <v>1128</v>
      </c>
      <c r="G614" s="20" t="s">
        <v>803</v>
      </c>
      <c r="H614" s="20"/>
      <c r="I614" s="4">
        <v>35000</v>
      </c>
      <c r="J614" s="4">
        <v>0</v>
      </c>
      <c r="K614" s="11" t="s">
        <v>63</v>
      </c>
      <c r="L614">
        <f t="shared" si="46"/>
        <v>1</v>
      </c>
      <c r="M614">
        <f t="shared" ca="1" si="49"/>
        <v>525</v>
      </c>
      <c r="N614" s="15">
        <f t="shared" si="47"/>
        <v>35000</v>
      </c>
      <c r="O614" t="str">
        <f t="shared" ca="1" si="48"/>
        <v>90+ Days</v>
      </c>
    </row>
    <row r="615" spans="1:15" x14ac:dyDescent="0.3">
      <c r="A615" s="6" t="s">
        <v>1129</v>
      </c>
      <c r="B615" s="7" t="s">
        <v>487</v>
      </c>
      <c r="C615" s="6" t="s">
        <v>33</v>
      </c>
      <c r="D615" s="2" t="str">
        <f t="shared" si="45"/>
        <v>Sep</v>
      </c>
      <c r="E615" s="25" t="s">
        <v>213</v>
      </c>
      <c r="F615" s="21" t="s">
        <v>290</v>
      </c>
      <c r="G615" s="21" t="s">
        <v>327</v>
      </c>
      <c r="H615" s="21" t="s">
        <v>400</v>
      </c>
      <c r="I615" s="8">
        <v>50000</v>
      </c>
      <c r="J615" s="8">
        <v>50000</v>
      </c>
      <c r="K615" s="5" t="s">
        <v>17</v>
      </c>
      <c r="L615">
        <f t="shared" si="46"/>
        <v>3</v>
      </c>
      <c r="M615">
        <f t="shared" ca="1" si="49"/>
        <v>9</v>
      </c>
      <c r="N615" s="15">
        <f t="shared" si="47"/>
        <v>0</v>
      </c>
      <c r="O615" t="str">
        <f t="shared" ca="1" si="48"/>
        <v>0-30 Days</v>
      </c>
    </row>
    <row r="616" spans="1:15" x14ac:dyDescent="0.3">
      <c r="A616" s="2" t="s">
        <v>1130</v>
      </c>
      <c r="B616" s="3" t="s">
        <v>306</v>
      </c>
      <c r="C616" s="2" t="s">
        <v>12</v>
      </c>
      <c r="D616" s="2" t="str">
        <f t="shared" si="45"/>
        <v>May</v>
      </c>
      <c r="E616" s="24" t="s">
        <v>109</v>
      </c>
      <c r="F616" s="20" t="s">
        <v>224</v>
      </c>
      <c r="G616" s="20" t="s">
        <v>350</v>
      </c>
      <c r="H616" s="20"/>
      <c r="I616" s="4">
        <v>15000</v>
      </c>
      <c r="J616" s="4">
        <v>0</v>
      </c>
      <c r="K616" s="12" t="s">
        <v>71</v>
      </c>
      <c r="L616">
        <f t="shared" si="46"/>
        <v>3</v>
      </c>
      <c r="M616">
        <f t="shared" ca="1" si="49"/>
        <v>391</v>
      </c>
      <c r="N616" s="15">
        <f t="shared" si="47"/>
        <v>15000</v>
      </c>
      <c r="O616" t="str">
        <f t="shared" ca="1" si="48"/>
        <v>90+ Days</v>
      </c>
    </row>
    <row r="617" spans="1:15" x14ac:dyDescent="0.3">
      <c r="A617" s="6" t="s">
        <v>1131</v>
      </c>
      <c r="B617" s="7" t="s">
        <v>32</v>
      </c>
      <c r="C617" s="6" t="s">
        <v>33</v>
      </c>
      <c r="D617" s="2" t="str">
        <f t="shared" si="45"/>
        <v>Jun</v>
      </c>
      <c r="E617" s="25" t="s">
        <v>1132</v>
      </c>
      <c r="F617" s="21" t="s">
        <v>43</v>
      </c>
      <c r="G617" s="21" t="s">
        <v>991</v>
      </c>
      <c r="H617" s="21" t="s">
        <v>634</v>
      </c>
      <c r="I617" s="8">
        <v>50000</v>
      </c>
      <c r="J617" s="8">
        <v>50000</v>
      </c>
      <c r="K617" s="5" t="s">
        <v>17</v>
      </c>
      <c r="L617">
        <f t="shared" si="46"/>
        <v>2</v>
      </c>
      <c r="M617">
        <f t="shared" ca="1" si="49"/>
        <v>13</v>
      </c>
      <c r="N617" s="15">
        <f t="shared" si="47"/>
        <v>0</v>
      </c>
      <c r="O617" t="str">
        <f t="shared" ca="1" si="48"/>
        <v>0-30 Days</v>
      </c>
    </row>
    <row r="618" spans="1:15" x14ac:dyDescent="0.3">
      <c r="A618" s="2" t="s">
        <v>1133</v>
      </c>
      <c r="B618" s="3" t="s">
        <v>309</v>
      </c>
      <c r="C618" s="2" t="s">
        <v>12</v>
      </c>
      <c r="D618" s="2" t="str">
        <f t="shared" si="45"/>
        <v>Oct</v>
      </c>
      <c r="E618" s="24" t="s">
        <v>307</v>
      </c>
      <c r="F618" s="20" t="s">
        <v>125</v>
      </c>
      <c r="G618" s="20" t="s">
        <v>271</v>
      </c>
      <c r="H618" s="20" t="s">
        <v>373</v>
      </c>
      <c r="I618" s="4">
        <v>10000</v>
      </c>
      <c r="J618" s="4">
        <v>10000</v>
      </c>
      <c r="K618" s="5" t="s">
        <v>17</v>
      </c>
      <c r="L618">
        <f t="shared" si="46"/>
        <v>3</v>
      </c>
      <c r="M618">
        <f t="shared" ca="1" si="49"/>
        <v>21</v>
      </c>
      <c r="N618" s="15">
        <f t="shared" si="47"/>
        <v>0</v>
      </c>
      <c r="O618" t="str">
        <f t="shared" ca="1" si="48"/>
        <v>0-30 Days</v>
      </c>
    </row>
    <row r="619" spans="1:15" x14ac:dyDescent="0.3">
      <c r="A619" s="6" t="s">
        <v>1134</v>
      </c>
      <c r="B619" s="7" t="s">
        <v>176</v>
      </c>
      <c r="C619" s="6" t="s">
        <v>12</v>
      </c>
      <c r="D619" s="2" t="str">
        <f t="shared" si="45"/>
        <v>Jan</v>
      </c>
      <c r="E619" s="25" t="s">
        <v>104</v>
      </c>
      <c r="F619" s="21" t="s">
        <v>550</v>
      </c>
      <c r="G619" s="21" t="s">
        <v>1070</v>
      </c>
      <c r="H619" s="21" t="s">
        <v>66</v>
      </c>
      <c r="I619" s="8">
        <v>25000</v>
      </c>
      <c r="J619" s="8">
        <v>25000</v>
      </c>
      <c r="K619" s="5" t="s">
        <v>17</v>
      </c>
      <c r="L619">
        <f t="shared" si="46"/>
        <v>2</v>
      </c>
      <c r="M619">
        <f t="shared" ca="1" si="49"/>
        <v>13</v>
      </c>
      <c r="N619" s="15">
        <f t="shared" si="47"/>
        <v>0</v>
      </c>
      <c r="O619" t="str">
        <f t="shared" ca="1" si="48"/>
        <v>0-30 Days</v>
      </c>
    </row>
    <row r="620" spans="1:15" x14ac:dyDescent="0.3">
      <c r="A620" s="2" t="s">
        <v>1135</v>
      </c>
      <c r="B620" s="3" t="s">
        <v>103</v>
      </c>
      <c r="C620" s="2" t="s">
        <v>12</v>
      </c>
      <c r="D620" s="2" t="str">
        <f t="shared" si="45"/>
        <v>Feb</v>
      </c>
      <c r="E620" s="24" t="s">
        <v>20</v>
      </c>
      <c r="F620" s="20" t="s">
        <v>21</v>
      </c>
      <c r="G620" s="20" t="s">
        <v>22</v>
      </c>
      <c r="H620" s="20" t="s">
        <v>181</v>
      </c>
      <c r="I620" s="4">
        <v>15000</v>
      </c>
      <c r="J620" s="4">
        <v>15000</v>
      </c>
      <c r="K620" s="5" t="s">
        <v>17</v>
      </c>
      <c r="L620">
        <f t="shared" si="46"/>
        <v>3</v>
      </c>
      <c r="M620">
        <f t="shared" ca="1" si="49"/>
        <v>21</v>
      </c>
      <c r="N620" s="15">
        <f t="shared" si="47"/>
        <v>0</v>
      </c>
      <c r="O620" t="str">
        <f t="shared" ca="1" si="48"/>
        <v>0-30 Days</v>
      </c>
    </row>
    <row r="621" spans="1:15" x14ac:dyDescent="0.3">
      <c r="A621" s="6" t="s">
        <v>1136</v>
      </c>
      <c r="B621" s="7" t="s">
        <v>572</v>
      </c>
      <c r="C621" s="6" t="s">
        <v>26</v>
      </c>
      <c r="D621" s="2" t="str">
        <f t="shared" si="45"/>
        <v>Jan</v>
      </c>
      <c r="E621" s="25" t="s">
        <v>330</v>
      </c>
      <c r="F621" s="21" t="s">
        <v>754</v>
      </c>
      <c r="G621" s="21" t="s">
        <v>80</v>
      </c>
      <c r="H621" s="21" t="s">
        <v>429</v>
      </c>
      <c r="I621" s="8">
        <v>40000</v>
      </c>
      <c r="J621" s="8">
        <v>40000</v>
      </c>
      <c r="K621" s="5" t="s">
        <v>17</v>
      </c>
      <c r="L621">
        <f t="shared" si="46"/>
        <v>1</v>
      </c>
      <c r="M621">
        <f t="shared" ca="1" si="49"/>
        <v>16</v>
      </c>
      <c r="N621" s="15">
        <f t="shared" si="47"/>
        <v>0</v>
      </c>
      <c r="O621" t="str">
        <f t="shared" ca="1" si="48"/>
        <v>0-30 Days</v>
      </c>
    </row>
    <row r="622" spans="1:15" x14ac:dyDescent="0.3">
      <c r="A622" s="2" t="s">
        <v>1137</v>
      </c>
      <c r="B622" s="3" t="s">
        <v>439</v>
      </c>
      <c r="C622" s="2" t="s">
        <v>12</v>
      </c>
      <c r="D622" s="2" t="str">
        <f t="shared" si="45"/>
        <v>Mar</v>
      </c>
      <c r="E622" s="24" t="s">
        <v>181</v>
      </c>
      <c r="F622" s="20" t="s">
        <v>725</v>
      </c>
      <c r="G622" s="20" t="s">
        <v>890</v>
      </c>
      <c r="H622" s="20" t="s">
        <v>109</v>
      </c>
      <c r="I622" s="4">
        <v>8000</v>
      </c>
      <c r="J622" s="4">
        <v>8000</v>
      </c>
      <c r="K622" s="9" t="s">
        <v>45</v>
      </c>
      <c r="L622">
        <f t="shared" si="46"/>
        <v>1</v>
      </c>
      <c r="M622">
        <f t="shared" ca="1" si="49"/>
        <v>60</v>
      </c>
      <c r="N622" s="15">
        <f t="shared" si="47"/>
        <v>0</v>
      </c>
      <c r="O622" t="str">
        <f t="shared" ca="1" si="48"/>
        <v>31-60 Days</v>
      </c>
    </row>
    <row r="623" spans="1:15" x14ac:dyDescent="0.3">
      <c r="A623" s="6" t="s">
        <v>1138</v>
      </c>
      <c r="B623" s="7" t="s">
        <v>309</v>
      </c>
      <c r="C623" s="6" t="s">
        <v>12</v>
      </c>
      <c r="D623" s="2" t="str">
        <f t="shared" si="45"/>
        <v>Dec</v>
      </c>
      <c r="E623" s="25" t="s">
        <v>270</v>
      </c>
      <c r="F623" s="21" t="s">
        <v>141</v>
      </c>
      <c r="G623" s="21" t="s">
        <v>302</v>
      </c>
      <c r="H623" s="21" t="s">
        <v>99</v>
      </c>
      <c r="I623" s="8">
        <v>40000</v>
      </c>
      <c r="J623" s="8">
        <v>40000</v>
      </c>
      <c r="K623" s="5" t="s">
        <v>17</v>
      </c>
      <c r="L623">
        <f t="shared" si="46"/>
        <v>2</v>
      </c>
      <c r="M623">
        <f t="shared" ca="1" si="49"/>
        <v>18</v>
      </c>
      <c r="N623" s="15">
        <f t="shared" si="47"/>
        <v>0</v>
      </c>
      <c r="O623" t="str">
        <f t="shared" ca="1" si="48"/>
        <v>0-30 Days</v>
      </c>
    </row>
    <row r="624" spans="1:15" x14ac:dyDescent="0.3">
      <c r="A624" s="2" t="s">
        <v>1139</v>
      </c>
      <c r="B624" s="3" t="s">
        <v>651</v>
      </c>
      <c r="C624" s="2" t="s">
        <v>12</v>
      </c>
      <c r="D624" s="2" t="str">
        <f t="shared" si="45"/>
        <v>Jun</v>
      </c>
      <c r="E624" s="24" t="s">
        <v>112</v>
      </c>
      <c r="F624" s="20" t="s">
        <v>397</v>
      </c>
      <c r="G624" s="20" t="s">
        <v>344</v>
      </c>
      <c r="H624" s="20" t="s">
        <v>443</v>
      </c>
      <c r="I624" s="4">
        <v>10000</v>
      </c>
      <c r="J624" s="4">
        <v>10000</v>
      </c>
      <c r="K624" s="9" t="s">
        <v>45</v>
      </c>
      <c r="L624">
        <f t="shared" si="46"/>
        <v>2</v>
      </c>
      <c r="M624">
        <f t="shared" ca="1" si="49"/>
        <v>34</v>
      </c>
      <c r="N624" s="15">
        <f t="shared" si="47"/>
        <v>0</v>
      </c>
      <c r="O624" t="str">
        <f t="shared" ca="1" si="48"/>
        <v>31-60 Days</v>
      </c>
    </row>
    <row r="625" spans="1:15" x14ac:dyDescent="0.3">
      <c r="A625" s="6" t="s">
        <v>1140</v>
      </c>
      <c r="B625" s="7" t="s">
        <v>293</v>
      </c>
      <c r="C625" s="6" t="s">
        <v>12</v>
      </c>
      <c r="D625" s="2" t="str">
        <f t="shared" si="45"/>
        <v>Dec</v>
      </c>
      <c r="E625" s="25" t="s">
        <v>94</v>
      </c>
      <c r="F625" s="21" t="s">
        <v>282</v>
      </c>
      <c r="G625" s="21" t="s">
        <v>283</v>
      </c>
      <c r="H625" s="21" t="s">
        <v>612</v>
      </c>
      <c r="I625" s="8">
        <v>25000</v>
      </c>
      <c r="J625" s="8">
        <v>25000</v>
      </c>
      <c r="K625" s="5" t="s">
        <v>17</v>
      </c>
      <c r="L625">
        <f t="shared" si="46"/>
        <v>1</v>
      </c>
      <c r="M625">
        <f t="shared" ca="1" si="49"/>
        <v>21</v>
      </c>
      <c r="N625" s="15">
        <f t="shared" si="47"/>
        <v>0</v>
      </c>
      <c r="O625" t="str">
        <f t="shared" ca="1" si="48"/>
        <v>0-30 Days</v>
      </c>
    </row>
    <row r="626" spans="1:15" x14ac:dyDescent="0.3">
      <c r="A626" s="2" t="s">
        <v>1141</v>
      </c>
      <c r="B626" s="3" t="s">
        <v>73</v>
      </c>
      <c r="C626" s="2" t="s">
        <v>26</v>
      </c>
      <c r="D626" s="2" t="str">
        <f t="shared" si="45"/>
        <v>Jul</v>
      </c>
      <c r="E626" s="24" t="s">
        <v>196</v>
      </c>
      <c r="F626" s="20" t="s">
        <v>253</v>
      </c>
      <c r="G626" s="20" t="s">
        <v>96</v>
      </c>
      <c r="H626" s="20"/>
      <c r="I626" s="4">
        <v>22000</v>
      </c>
      <c r="J626" s="4">
        <v>0</v>
      </c>
      <c r="K626" s="10" t="s">
        <v>57</v>
      </c>
      <c r="L626">
        <f t="shared" si="46"/>
        <v>1</v>
      </c>
      <c r="M626">
        <f t="shared" ca="1" si="49"/>
        <v>325</v>
      </c>
      <c r="N626" s="15">
        <f t="shared" si="47"/>
        <v>22000</v>
      </c>
      <c r="O626" t="str">
        <f t="shared" ca="1" si="48"/>
        <v>90+ Days</v>
      </c>
    </row>
    <row r="627" spans="1:15" x14ac:dyDescent="0.3">
      <c r="A627" s="6" t="s">
        <v>1142</v>
      </c>
      <c r="B627" s="7" t="s">
        <v>718</v>
      </c>
      <c r="C627" s="6" t="s">
        <v>12</v>
      </c>
      <c r="D627" s="2" t="str">
        <f t="shared" si="45"/>
        <v>Jun</v>
      </c>
      <c r="E627" s="25" t="s">
        <v>396</v>
      </c>
      <c r="F627" s="21" t="s">
        <v>368</v>
      </c>
      <c r="G627" s="21" t="s">
        <v>86</v>
      </c>
      <c r="H627" s="21" t="s">
        <v>747</v>
      </c>
      <c r="I627" s="8">
        <v>10000</v>
      </c>
      <c r="J627" s="8">
        <v>10000</v>
      </c>
      <c r="K627" s="9" t="s">
        <v>45</v>
      </c>
      <c r="L627">
        <f t="shared" si="46"/>
        <v>2</v>
      </c>
      <c r="M627">
        <f t="shared" ca="1" si="49"/>
        <v>31</v>
      </c>
      <c r="N627" s="15">
        <f t="shared" si="47"/>
        <v>0</v>
      </c>
      <c r="O627" t="str">
        <f t="shared" ca="1" si="48"/>
        <v>31-60 Days</v>
      </c>
    </row>
    <row r="628" spans="1:15" x14ac:dyDescent="0.3">
      <c r="A628" s="2" t="s">
        <v>1143</v>
      </c>
      <c r="B628" s="3" t="s">
        <v>658</v>
      </c>
      <c r="C628" s="2" t="s">
        <v>12</v>
      </c>
      <c r="D628" s="2" t="str">
        <f t="shared" si="45"/>
        <v>Apr</v>
      </c>
      <c r="E628" s="24" t="s">
        <v>240</v>
      </c>
      <c r="F628" s="20" t="s">
        <v>576</v>
      </c>
      <c r="G628" s="20" t="s">
        <v>1144</v>
      </c>
      <c r="H628" s="20"/>
      <c r="I628" s="4">
        <v>60000</v>
      </c>
      <c r="J628" s="4">
        <v>0</v>
      </c>
      <c r="K628" s="12" t="s">
        <v>71</v>
      </c>
      <c r="L628">
        <f t="shared" si="46"/>
        <v>2</v>
      </c>
      <c r="M628">
        <f t="shared" ca="1" si="49"/>
        <v>427</v>
      </c>
      <c r="N628" s="15">
        <f t="shared" si="47"/>
        <v>60000</v>
      </c>
      <c r="O628" t="str">
        <f t="shared" ca="1" si="48"/>
        <v>90+ Days</v>
      </c>
    </row>
    <row r="629" spans="1:15" x14ac:dyDescent="0.3">
      <c r="A629" s="6" t="s">
        <v>1145</v>
      </c>
      <c r="B629" s="7" t="s">
        <v>120</v>
      </c>
      <c r="C629" s="6" t="s">
        <v>40</v>
      </c>
      <c r="D629" s="2" t="str">
        <f t="shared" si="45"/>
        <v>Aug</v>
      </c>
      <c r="E629" s="25" t="s">
        <v>289</v>
      </c>
      <c r="F629" s="21" t="s">
        <v>585</v>
      </c>
      <c r="G629" s="21" t="s">
        <v>737</v>
      </c>
      <c r="H629" s="21"/>
      <c r="I629" s="8">
        <v>35000</v>
      </c>
      <c r="J629" s="8">
        <v>0</v>
      </c>
      <c r="K629" s="11" t="s">
        <v>63</v>
      </c>
      <c r="L629">
        <f t="shared" si="46"/>
        <v>2</v>
      </c>
      <c r="M629">
        <f t="shared" ca="1" si="49"/>
        <v>292</v>
      </c>
      <c r="N629" s="15">
        <f t="shared" si="47"/>
        <v>35000</v>
      </c>
      <c r="O629" t="str">
        <f t="shared" ca="1" si="48"/>
        <v>90+ Days</v>
      </c>
    </row>
    <row r="630" spans="1:15" x14ac:dyDescent="0.3">
      <c r="A630" s="2" t="s">
        <v>1146</v>
      </c>
      <c r="B630" s="3" t="s">
        <v>718</v>
      </c>
      <c r="C630" s="2" t="s">
        <v>12</v>
      </c>
      <c r="D630" s="2" t="str">
        <f t="shared" si="45"/>
        <v>Apr</v>
      </c>
      <c r="E630" s="24" t="s">
        <v>218</v>
      </c>
      <c r="F630" s="20" t="s">
        <v>467</v>
      </c>
      <c r="G630" s="20" t="s">
        <v>468</v>
      </c>
      <c r="H630" s="20"/>
      <c r="I630" s="4">
        <v>55000</v>
      </c>
      <c r="J630" s="4">
        <v>0</v>
      </c>
      <c r="K630" s="12" t="s">
        <v>71</v>
      </c>
      <c r="L630">
        <f t="shared" si="46"/>
        <v>3</v>
      </c>
      <c r="M630">
        <f t="shared" ca="1" si="49"/>
        <v>428</v>
      </c>
      <c r="N630" s="15">
        <f t="shared" si="47"/>
        <v>55000</v>
      </c>
      <c r="O630" t="str">
        <f t="shared" ca="1" si="48"/>
        <v>90+ Days</v>
      </c>
    </row>
    <row r="631" spans="1:15" x14ac:dyDescent="0.3">
      <c r="A631" s="6" t="s">
        <v>1147</v>
      </c>
      <c r="B631" s="7" t="s">
        <v>120</v>
      </c>
      <c r="C631" s="6" t="s">
        <v>40</v>
      </c>
      <c r="D631" s="2" t="str">
        <f t="shared" si="45"/>
        <v>Mar</v>
      </c>
      <c r="E631" s="25" t="s">
        <v>725</v>
      </c>
      <c r="F631" s="21" t="s">
        <v>249</v>
      </c>
      <c r="G631" s="21" t="s">
        <v>498</v>
      </c>
      <c r="H631" s="21" t="s">
        <v>218</v>
      </c>
      <c r="I631" s="8">
        <v>18000</v>
      </c>
      <c r="J631" s="8">
        <v>18000</v>
      </c>
      <c r="K631" s="5" t="s">
        <v>17</v>
      </c>
      <c r="L631">
        <f t="shared" si="46"/>
        <v>1</v>
      </c>
      <c r="M631">
        <f t="shared" ca="1" si="49"/>
        <v>22</v>
      </c>
      <c r="N631" s="15">
        <f t="shared" si="47"/>
        <v>0</v>
      </c>
      <c r="O631" t="str">
        <f t="shared" ca="1" si="48"/>
        <v>0-30 Days</v>
      </c>
    </row>
    <row r="632" spans="1:15" x14ac:dyDescent="0.3">
      <c r="A632" s="2" t="s">
        <v>1148</v>
      </c>
      <c r="B632" s="3" t="s">
        <v>347</v>
      </c>
      <c r="C632" s="2" t="s">
        <v>12</v>
      </c>
      <c r="D632" s="2" t="str">
        <f t="shared" si="45"/>
        <v>Nov</v>
      </c>
      <c r="E632" s="24" t="s">
        <v>732</v>
      </c>
      <c r="F632" s="20" t="s">
        <v>271</v>
      </c>
      <c r="G632" s="20" t="s">
        <v>663</v>
      </c>
      <c r="H632" s="20"/>
      <c r="I632" s="4">
        <v>5000</v>
      </c>
      <c r="J632" s="4">
        <v>0</v>
      </c>
      <c r="K632" s="11" t="s">
        <v>63</v>
      </c>
      <c r="L632">
        <f t="shared" si="46"/>
        <v>3</v>
      </c>
      <c r="M632">
        <f t="shared" ca="1" si="49"/>
        <v>203</v>
      </c>
      <c r="N632" s="15">
        <f t="shared" si="47"/>
        <v>5000</v>
      </c>
      <c r="O632" t="str">
        <f t="shared" ca="1" si="48"/>
        <v>90+ Days</v>
      </c>
    </row>
    <row r="633" spans="1:15" x14ac:dyDescent="0.3">
      <c r="A633" s="6" t="s">
        <v>1149</v>
      </c>
      <c r="B633" s="7" t="s">
        <v>572</v>
      </c>
      <c r="C633" s="6" t="s">
        <v>26</v>
      </c>
      <c r="D633" s="2" t="str">
        <f t="shared" si="45"/>
        <v>Dec</v>
      </c>
      <c r="E633" s="25" t="s">
        <v>363</v>
      </c>
      <c r="F633" s="21" t="s">
        <v>74</v>
      </c>
      <c r="G633" s="21" t="s">
        <v>408</v>
      </c>
      <c r="H633" s="21" t="s">
        <v>580</v>
      </c>
      <c r="I633" s="8">
        <v>60000</v>
      </c>
      <c r="J633" s="8">
        <v>60000</v>
      </c>
      <c r="K633" s="5" t="s">
        <v>17</v>
      </c>
      <c r="L633">
        <f t="shared" si="46"/>
        <v>2</v>
      </c>
      <c r="M633">
        <f t="shared" ca="1" si="49"/>
        <v>21</v>
      </c>
      <c r="N633" s="15">
        <f t="shared" si="47"/>
        <v>0</v>
      </c>
      <c r="O633" t="str">
        <f t="shared" ca="1" si="48"/>
        <v>0-30 Days</v>
      </c>
    </row>
    <row r="634" spans="1:15" x14ac:dyDescent="0.3">
      <c r="A634" s="2" t="s">
        <v>1150</v>
      </c>
      <c r="B634" s="3" t="s">
        <v>601</v>
      </c>
      <c r="C634" s="2" t="s">
        <v>40</v>
      </c>
      <c r="D634" s="2" t="str">
        <f t="shared" si="45"/>
        <v>Aug</v>
      </c>
      <c r="E634" s="24" t="s">
        <v>333</v>
      </c>
      <c r="F634" s="20" t="s">
        <v>635</v>
      </c>
      <c r="G634" s="20" t="s">
        <v>399</v>
      </c>
      <c r="H634" s="20"/>
      <c r="I634" s="4">
        <v>8000</v>
      </c>
      <c r="J634" s="4">
        <v>0</v>
      </c>
      <c r="K634" s="11" t="s">
        <v>63</v>
      </c>
      <c r="L634">
        <f t="shared" si="46"/>
        <v>2</v>
      </c>
      <c r="M634">
        <f t="shared" ca="1" si="49"/>
        <v>315</v>
      </c>
      <c r="N634" s="15">
        <f t="shared" si="47"/>
        <v>8000</v>
      </c>
      <c r="O634" t="str">
        <f t="shared" ca="1" si="48"/>
        <v>90+ Days</v>
      </c>
    </row>
    <row r="635" spans="1:15" x14ac:dyDescent="0.3">
      <c r="A635" s="6" t="s">
        <v>1151</v>
      </c>
      <c r="B635" s="7" t="s">
        <v>407</v>
      </c>
      <c r="C635" s="6" t="s">
        <v>33</v>
      </c>
      <c r="D635" s="2" t="str">
        <f t="shared" si="45"/>
        <v>Dec</v>
      </c>
      <c r="E635" s="25" t="s">
        <v>653</v>
      </c>
      <c r="F635" s="21" t="s">
        <v>612</v>
      </c>
      <c r="G635" s="21" t="s">
        <v>1152</v>
      </c>
      <c r="H635" s="21" t="s">
        <v>615</v>
      </c>
      <c r="I635" s="8">
        <v>10000</v>
      </c>
      <c r="J635" s="8">
        <v>10000</v>
      </c>
      <c r="K635" s="5" t="s">
        <v>17</v>
      </c>
      <c r="L635">
        <f t="shared" si="46"/>
        <v>2</v>
      </c>
      <c r="M635">
        <f t="shared" ca="1" si="49"/>
        <v>12</v>
      </c>
      <c r="N635" s="15">
        <f t="shared" si="47"/>
        <v>0</v>
      </c>
      <c r="O635" t="str">
        <f t="shared" ca="1" si="48"/>
        <v>0-30 Days</v>
      </c>
    </row>
    <row r="636" spans="1:15" x14ac:dyDescent="0.3">
      <c r="A636" s="2" t="s">
        <v>1153</v>
      </c>
      <c r="B636" s="3" t="s">
        <v>487</v>
      </c>
      <c r="C636" s="2" t="s">
        <v>33</v>
      </c>
      <c r="D636" s="2" t="str">
        <f t="shared" si="45"/>
        <v>Jul</v>
      </c>
      <c r="E636" s="24" t="s">
        <v>337</v>
      </c>
      <c r="F636" s="20" t="s">
        <v>333</v>
      </c>
      <c r="G636" s="20" t="s">
        <v>88</v>
      </c>
      <c r="H636" s="20" t="s">
        <v>228</v>
      </c>
      <c r="I636" s="4">
        <v>100000</v>
      </c>
      <c r="J636" s="4">
        <v>100000</v>
      </c>
      <c r="K636" s="5" t="s">
        <v>17</v>
      </c>
      <c r="L636">
        <f t="shared" si="46"/>
        <v>3</v>
      </c>
      <c r="M636">
        <f t="shared" ca="1" si="49"/>
        <v>28</v>
      </c>
      <c r="N636" s="15">
        <f t="shared" si="47"/>
        <v>0</v>
      </c>
      <c r="O636" t="str">
        <f t="shared" ca="1" si="48"/>
        <v>0-30 Days</v>
      </c>
    </row>
    <row r="637" spans="1:15" x14ac:dyDescent="0.3">
      <c r="A637" s="6" t="s">
        <v>1154</v>
      </c>
      <c r="B637" s="7" t="s">
        <v>180</v>
      </c>
      <c r="C637" s="6" t="s">
        <v>33</v>
      </c>
      <c r="D637" s="2" t="str">
        <f t="shared" si="45"/>
        <v>Oct</v>
      </c>
      <c r="E637" s="25" t="s">
        <v>327</v>
      </c>
      <c r="F637" s="21" t="s">
        <v>125</v>
      </c>
      <c r="G637" s="21" t="s">
        <v>271</v>
      </c>
      <c r="H637" s="21" t="s">
        <v>495</v>
      </c>
      <c r="I637" s="8">
        <v>45000</v>
      </c>
      <c r="J637" s="8">
        <v>45000</v>
      </c>
      <c r="K637" s="5" t="s">
        <v>17</v>
      </c>
      <c r="L637">
        <f t="shared" si="46"/>
        <v>1</v>
      </c>
      <c r="M637">
        <f t="shared" ca="1" si="49"/>
        <v>17</v>
      </c>
      <c r="N637" s="15">
        <f t="shared" si="47"/>
        <v>0</v>
      </c>
      <c r="O637" t="str">
        <f t="shared" ca="1" si="48"/>
        <v>0-30 Days</v>
      </c>
    </row>
    <row r="638" spans="1:15" x14ac:dyDescent="0.3">
      <c r="A638" s="2" t="s">
        <v>1155</v>
      </c>
      <c r="B638" s="3" t="s">
        <v>212</v>
      </c>
      <c r="C638" s="2" t="s">
        <v>12</v>
      </c>
      <c r="D638" s="2" t="str">
        <f t="shared" si="45"/>
        <v>Oct</v>
      </c>
      <c r="E638" s="24" t="s">
        <v>184</v>
      </c>
      <c r="F638" s="20" t="s">
        <v>557</v>
      </c>
      <c r="G638" s="20" t="s">
        <v>363</v>
      </c>
      <c r="H638" s="20" t="s">
        <v>495</v>
      </c>
      <c r="I638" s="4">
        <v>8000</v>
      </c>
      <c r="J638" s="4">
        <v>8000</v>
      </c>
      <c r="K638" s="5" t="s">
        <v>17</v>
      </c>
      <c r="L638">
        <f t="shared" si="46"/>
        <v>3</v>
      </c>
      <c r="M638">
        <f t="shared" ca="1" si="49"/>
        <v>9</v>
      </c>
      <c r="N638" s="15">
        <f t="shared" si="47"/>
        <v>0</v>
      </c>
      <c r="O638" t="str">
        <f t="shared" ca="1" si="48"/>
        <v>0-30 Days</v>
      </c>
    </row>
    <row r="639" spans="1:15" x14ac:dyDescent="0.3">
      <c r="A639" s="6" t="s">
        <v>1156</v>
      </c>
      <c r="B639" s="7" t="s">
        <v>601</v>
      </c>
      <c r="C639" s="6" t="s">
        <v>40</v>
      </c>
      <c r="D639" s="2" t="str">
        <f t="shared" si="45"/>
        <v>May</v>
      </c>
      <c r="E639" s="25" t="s">
        <v>522</v>
      </c>
      <c r="F639" s="21" t="s">
        <v>507</v>
      </c>
      <c r="G639" s="21" t="s">
        <v>178</v>
      </c>
      <c r="H639" s="21" t="s">
        <v>178</v>
      </c>
      <c r="I639" s="8">
        <v>75000</v>
      </c>
      <c r="J639" s="8">
        <v>56250</v>
      </c>
      <c r="K639" s="13" t="s">
        <v>113</v>
      </c>
      <c r="L639">
        <f t="shared" si="46"/>
        <v>2</v>
      </c>
      <c r="M639">
        <f t="shared" ca="1" si="49"/>
        <v>30</v>
      </c>
      <c r="N639" s="15">
        <f t="shared" si="47"/>
        <v>18750</v>
      </c>
      <c r="O639" t="str">
        <f t="shared" ca="1" si="48"/>
        <v>0-30 Days</v>
      </c>
    </row>
    <row r="640" spans="1:15" x14ac:dyDescent="0.3">
      <c r="A640" s="2" t="s">
        <v>1157</v>
      </c>
      <c r="B640" s="3" t="s">
        <v>19</v>
      </c>
      <c r="C640" s="2" t="s">
        <v>12</v>
      </c>
      <c r="D640" s="2" t="str">
        <f t="shared" si="45"/>
        <v>Jun</v>
      </c>
      <c r="E640" s="24" t="s">
        <v>661</v>
      </c>
      <c r="F640" s="20" t="s">
        <v>153</v>
      </c>
      <c r="G640" s="20" t="s">
        <v>443</v>
      </c>
      <c r="H640" s="20" t="s">
        <v>311</v>
      </c>
      <c r="I640" s="4">
        <v>22000</v>
      </c>
      <c r="J640" s="4">
        <v>22000</v>
      </c>
      <c r="K640" s="5" t="s">
        <v>17</v>
      </c>
      <c r="L640">
        <f t="shared" si="46"/>
        <v>2</v>
      </c>
      <c r="M640">
        <f t="shared" ca="1" si="49"/>
        <v>7</v>
      </c>
      <c r="N640" s="15">
        <f t="shared" si="47"/>
        <v>0</v>
      </c>
      <c r="O640" t="str">
        <f t="shared" ca="1" si="48"/>
        <v>0-30 Days</v>
      </c>
    </row>
    <row r="641" spans="1:15" x14ac:dyDescent="0.3">
      <c r="A641" s="6" t="s">
        <v>1158</v>
      </c>
      <c r="B641" s="7" t="s">
        <v>780</v>
      </c>
      <c r="C641" s="6" t="s">
        <v>26</v>
      </c>
      <c r="D641" s="2" t="str">
        <f t="shared" si="45"/>
        <v>Mar</v>
      </c>
      <c r="E641" s="25" t="s">
        <v>82</v>
      </c>
      <c r="F641" s="21" t="s">
        <v>202</v>
      </c>
      <c r="G641" s="21" t="s">
        <v>240</v>
      </c>
      <c r="H641" s="21" t="s">
        <v>298</v>
      </c>
      <c r="I641" s="8">
        <v>15000</v>
      </c>
      <c r="J641" s="8">
        <v>15000</v>
      </c>
      <c r="K641" s="5" t="s">
        <v>17</v>
      </c>
      <c r="L641">
        <f t="shared" si="46"/>
        <v>3</v>
      </c>
      <c r="M641">
        <f t="shared" ca="1" si="49"/>
        <v>10</v>
      </c>
      <c r="N641" s="15">
        <f t="shared" si="47"/>
        <v>0</v>
      </c>
      <c r="O641" t="str">
        <f t="shared" ca="1" si="48"/>
        <v>0-30 Days</v>
      </c>
    </row>
    <row r="642" spans="1:15" x14ac:dyDescent="0.3">
      <c r="A642" s="2" t="s">
        <v>1159</v>
      </c>
      <c r="B642" s="3" t="s">
        <v>420</v>
      </c>
      <c r="C642" s="2" t="s">
        <v>12</v>
      </c>
      <c r="D642" s="2" t="str">
        <f t="shared" si="45"/>
        <v>Aug</v>
      </c>
      <c r="E642" s="24" t="s">
        <v>61</v>
      </c>
      <c r="F642" s="20" t="s">
        <v>342</v>
      </c>
      <c r="G642" s="20" t="s">
        <v>629</v>
      </c>
      <c r="H642" s="20" t="s">
        <v>490</v>
      </c>
      <c r="I642" s="4">
        <v>18000</v>
      </c>
      <c r="J642" s="4">
        <v>18000</v>
      </c>
      <c r="K642" s="5" t="s">
        <v>17</v>
      </c>
      <c r="L642">
        <f t="shared" si="46"/>
        <v>2</v>
      </c>
      <c r="M642">
        <f t="shared" ca="1" si="49"/>
        <v>16</v>
      </c>
      <c r="N642" s="15">
        <f t="shared" si="47"/>
        <v>0</v>
      </c>
      <c r="O642" t="str">
        <f t="shared" ca="1" si="48"/>
        <v>0-30 Days</v>
      </c>
    </row>
    <row r="643" spans="1:15" x14ac:dyDescent="0.3">
      <c r="A643" s="6" t="s">
        <v>1160</v>
      </c>
      <c r="B643" s="7" t="s">
        <v>103</v>
      </c>
      <c r="C643" s="6" t="s">
        <v>12</v>
      </c>
      <c r="D643" s="2" t="str">
        <f t="shared" ref="D643:D706" si="50">MID(E643, 4, 3)</f>
        <v>Apr</v>
      </c>
      <c r="E643" s="25" t="s">
        <v>538</v>
      </c>
      <c r="F643" s="21" t="s">
        <v>498</v>
      </c>
      <c r="G643" s="21" t="s">
        <v>110</v>
      </c>
      <c r="H643" s="21" t="s">
        <v>452</v>
      </c>
      <c r="I643" s="8">
        <v>60000</v>
      </c>
      <c r="J643" s="8">
        <v>60000</v>
      </c>
      <c r="K643" s="5" t="s">
        <v>17</v>
      </c>
      <c r="L643">
        <f t="shared" ref="L643:L706" si="51">F643-E643</f>
        <v>2</v>
      </c>
      <c r="M643">
        <f t="shared" ca="1" si="49"/>
        <v>8</v>
      </c>
      <c r="N643" s="15">
        <f t="shared" ref="N643:N706" si="52">I643-J643</f>
        <v>0</v>
      </c>
      <c r="O643" t="str">
        <f t="shared" ref="O643:O706" ca="1" si="53">IF(M643&lt;=30,"0-30 Days",
IF(M643&lt;=60,"31-60 Days",
IF(M643&lt;=90,"61-90 Days","90+ Days")))</f>
        <v>0-30 Days</v>
      </c>
    </row>
    <row r="644" spans="1:15" x14ac:dyDescent="0.3">
      <c r="A644" s="2" t="s">
        <v>1161</v>
      </c>
      <c r="B644" s="3" t="s">
        <v>492</v>
      </c>
      <c r="C644" s="2" t="s">
        <v>26</v>
      </c>
      <c r="D644" s="2" t="str">
        <f t="shared" si="50"/>
        <v>Mar</v>
      </c>
      <c r="E644" s="24" t="s">
        <v>49</v>
      </c>
      <c r="F644" s="20" t="s">
        <v>81</v>
      </c>
      <c r="G644" s="20" t="s">
        <v>205</v>
      </c>
      <c r="H644" s="20"/>
      <c r="I644" s="4">
        <v>60000</v>
      </c>
      <c r="J644" s="4">
        <v>0</v>
      </c>
      <c r="K644" s="10" t="s">
        <v>57</v>
      </c>
      <c r="L644">
        <f t="shared" si="51"/>
        <v>3</v>
      </c>
      <c r="M644">
        <f t="shared" ref="M644:M707" ca="1" si="54">IF(H644="",TODAY()-F644,H644-F644)</f>
        <v>448</v>
      </c>
      <c r="N644" s="15">
        <f t="shared" si="52"/>
        <v>60000</v>
      </c>
      <c r="O644" t="str">
        <f t="shared" ca="1" si="53"/>
        <v>90+ Days</v>
      </c>
    </row>
    <row r="645" spans="1:15" x14ac:dyDescent="0.3">
      <c r="A645" s="6" t="s">
        <v>1162</v>
      </c>
      <c r="B645" s="7" t="s">
        <v>553</v>
      </c>
      <c r="C645" s="6" t="s">
        <v>12</v>
      </c>
      <c r="D645" s="2" t="str">
        <f t="shared" si="50"/>
        <v>Nov</v>
      </c>
      <c r="E645" s="25" t="s">
        <v>447</v>
      </c>
      <c r="F645" s="21" t="s">
        <v>128</v>
      </c>
      <c r="G645" s="21" t="s">
        <v>75</v>
      </c>
      <c r="H645" s="21"/>
      <c r="I645" s="8">
        <v>30000</v>
      </c>
      <c r="J645" s="8">
        <v>0</v>
      </c>
      <c r="K645" s="10" t="s">
        <v>57</v>
      </c>
      <c r="L645">
        <f t="shared" si="51"/>
        <v>1</v>
      </c>
      <c r="M645">
        <f t="shared" ca="1" si="54"/>
        <v>222</v>
      </c>
      <c r="N645" s="15">
        <f t="shared" si="52"/>
        <v>30000</v>
      </c>
      <c r="O645" t="str">
        <f t="shared" ca="1" si="53"/>
        <v>90+ Days</v>
      </c>
    </row>
    <row r="646" spans="1:15" x14ac:dyDescent="0.3">
      <c r="A646" s="2" t="s">
        <v>1163</v>
      </c>
      <c r="B646" s="3" t="s">
        <v>497</v>
      </c>
      <c r="C646" s="2" t="s">
        <v>33</v>
      </c>
      <c r="D646" s="2" t="str">
        <f t="shared" si="50"/>
        <v>Mar</v>
      </c>
      <c r="E646" s="24" t="s">
        <v>976</v>
      </c>
      <c r="F646" s="20" t="s">
        <v>181</v>
      </c>
      <c r="G646" s="20" t="s">
        <v>538</v>
      </c>
      <c r="H646" s="20"/>
      <c r="I646" s="4">
        <v>40000</v>
      </c>
      <c r="J646" s="4">
        <v>0</v>
      </c>
      <c r="K646" s="11" t="s">
        <v>63</v>
      </c>
      <c r="L646">
        <f t="shared" si="51"/>
        <v>1</v>
      </c>
      <c r="M646">
        <f t="shared" ca="1" si="54"/>
        <v>455</v>
      </c>
      <c r="N646" s="15">
        <f t="shared" si="52"/>
        <v>40000</v>
      </c>
      <c r="O646" t="str">
        <f t="shared" ca="1" si="53"/>
        <v>90+ Days</v>
      </c>
    </row>
    <row r="647" spans="1:15" x14ac:dyDescent="0.3">
      <c r="A647" s="6" t="s">
        <v>1164</v>
      </c>
      <c r="B647" s="7" t="s">
        <v>876</v>
      </c>
      <c r="C647" s="6" t="s">
        <v>12</v>
      </c>
      <c r="D647" s="2" t="str">
        <f t="shared" si="50"/>
        <v>Sep</v>
      </c>
      <c r="E647" s="25" t="s">
        <v>535</v>
      </c>
      <c r="F647" s="21" t="s">
        <v>158</v>
      </c>
      <c r="G647" s="21" t="s">
        <v>392</v>
      </c>
      <c r="H647" s="21" t="s">
        <v>183</v>
      </c>
      <c r="I647" s="8">
        <v>60000</v>
      </c>
      <c r="J647" s="8">
        <v>60000</v>
      </c>
      <c r="K647" s="5" t="s">
        <v>17</v>
      </c>
      <c r="L647">
        <f t="shared" si="51"/>
        <v>1</v>
      </c>
      <c r="M647">
        <f t="shared" ca="1" si="54"/>
        <v>10</v>
      </c>
      <c r="N647" s="15">
        <f t="shared" si="52"/>
        <v>0</v>
      </c>
      <c r="O647" t="str">
        <f t="shared" ca="1" si="53"/>
        <v>0-30 Days</v>
      </c>
    </row>
    <row r="648" spans="1:15" x14ac:dyDescent="0.3">
      <c r="A648" s="2" t="s">
        <v>1165</v>
      </c>
      <c r="B648" s="3" t="s">
        <v>32</v>
      </c>
      <c r="C648" s="2" t="s">
        <v>33</v>
      </c>
      <c r="D648" s="2" t="str">
        <f t="shared" si="50"/>
        <v>Jul</v>
      </c>
      <c r="E648" s="24" t="s">
        <v>523</v>
      </c>
      <c r="F648" s="20" t="s">
        <v>584</v>
      </c>
      <c r="G648" s="20" t="s">
        <v>585</v>
      </c>
      <c r="H648" s="20"/>
      <c r="I648" s="4">
        <v>55000</v>
      </c>
      <c r="J648" s="4">
        <v>0</v>
      </c>
      <c r="K648" s="12" t="s">
        <v>71</v>
      </c>
      <c r="L648">
        <f t="shared" si="51"/>
        <v>2</v>
      </c>
      <c r="M648">
        <f t="shared" ca="1" si="54"/>
        <v>322</v>
      </c>
      <c r="N648" s="15">
        <f t="shared" si="52"/>
        <v>55000</v>
      </c>
      <c r="O648" t="str">
        <f t="shared" ca="1" si="53"/>
        <v>90+ Days</v>
      </c>
    </row>
    <row r="649" spans="1:15" x14ac:dyDescent="0.3">
      <c r="A649" s="6" t="s">
        <v>1166</v>
      </c>
      <c r="B649" s="7" t="s">
        <v>120</v>
      </c>
      <c r="C649" s="6" t="s">
        <v>40</v>
      </c>
      <c r="D649" s="2" t="str">
        <f t="shared" si="50"/>
        <v>Feb</v>
      </c>
      <c r="E649" s="25" t="s">
        <v>248</v>
      </c>
      <c r="F649" s="21" t="s">
        <v>314</v>
      </c>
      <c r="G649" s="21" t="s">
        <v>49</v>
      </c>
      <c r="H649" s="21"/>
      <c r="I649" s="8">
        <v>15000</v>
      </c>
      <c r="J649" s="8">
        <v>0</v>
      </c>
      <c r="K649" s="10" t="s">
        <v>57</v>
      </c>
      <c r="L649">
        <f t="shared" si="51"/>
        <v>2</v>
      </c>
      <c r="M649">
        <f t="shared" ca="1" si="54"/>
        <v>481</v>
      </c>
      <c r="N649" s="15">
        <f t="shared" si="52"/>
        <v>15000</v>
      </c>
      <c r="O649" t="str">
        <f t="shared" ca="1" si="53"/>
        <v>90+ Days</v>
      </c>
    </row>
    <row r="650" spans="1:15" x14ac:dyDescent="0.3">
      <c r="A650" s="2" t="s">
        <v>1167</v>
      </c>
      <c r="B650" s="3" t="s">
        <v>457</v>
      </c>
      <c r="C650" s="2" t="s">
        <v>40</v>
      </c>
      <c r="D650" s="2" t="str">
        <f t="shared" si="50"/>
        <v>Mar</v>
      </c>
      <c r="E650" s="24" t="s">
        <v>262</v>
      </c>
      <c r="F650" s="20" t="s">
        <v>232</v>
      </c>
      <c r="G650" s="20" t="s">
        <v>237</v>
      </c>
      <c r="H650" s="20"/>
      <c r="I650" s="4">
        <v>8000</v>
      </c>
      <c r="J650" s="4">
        <v>0</v>
      </c>
      <c r="K650" s="10" t="s">
        <v>57</v>
      </c>
      <c r="L650">
        <f t="shared" si="51"/>
        <v>1</v>
      </c>
      <c r="M650">
        <f t="shared" ca="1" si="54"/>
        <v>468</v>
      </c>
      <c r="N650" s="15">
        <f t="shared" si="52"/>
        <v>8000</v>
      </c>
      <c r="O650" t="str">
        <f t="shared" ca="1" si="53"/>
        <v>90+ Days</v>
      </c>
    </row>
    <row r="651" spans="1:15" x14ac:dyDescent="0.3">
      <c r="A651" s="6" t="s">
        <v>1168</v>
      </c>
      <c r="B651" s="7" t="s">
        <v>198</v>
      </c>
      <c r="C651" s="6" t="s">
        <v>26</v>
      </c>
      <c r="D651" s="2" t="str">
        <f t="shared" si="50"/>
        <v>Mar</v>
      </c>
      <c r="E651" s="25" t="s">
        <v>681</v>
      </c>
      <c r="F651" s="21" t="s">
        <v>16</v>
      </c>
      <c r="G651" s="21" t="s">
        <v>51</v>
      </c>
      <c r="H651" s="21" t="s">
        <v>382</v>
      </c>
      <c r="I651" s="8">
        <v>12000</v>
      </c>
      <c r="J651" s="8">
        <v>12000</v>
      </c>
      <c r="K651" s="5" t="s">
        <v>17</v>
      </c>
      <c r="L651">
        <f t="shared" si="51"/>
        <v>1</v>
      </c>
      <c r="M651">
        <f t="shared" ca="1" si="54"/>
        <v>25</v>
      </c>
      <c r="N651" s="15">
        <f t="shared" si="52"/>
        <v>0</v>
      </c>
      <c r="O651" t="str">
        <f t="shared" ca="1" si="53"/>
        <v>0-30 Days</v>
      </c>
    </row>
    <row r="652" spans="1:15" x14ac:dyDescent="0.3">
      <c r="A652" s="2" t="s">
        <v>1169</v>
      </c>
      <c r="B652" s="3" t="s">
        <v>1060</v>
      </c>
      <c r="C652" s="2" t="s">
        <v>12</v>
      </c>
      <c r="D652" s="2" t="str">
        <f t="shared" si="50"/>
        <v>Feb</v>
      </c>
      <c r="E652" s="24" t="s">
        <v>66</v>
      </c>
      <c r="F652" s="20" t="s">
        <v>29</v>
      </c>
      <c r="G652" s="20" t="s">
        <v>181</v>
      </c>
      <c r="H652" s="20" t="s">
        <v>21</v>
      </c>
      <c r="I652" s="4">
        <v>50000</v>
      </c>
      <c r="J652" s="4">
        <v>12500</v>
      </c>
      <c r="K652" s="13" t="s">
        <v>113</v>
      </c>
      <c r="L652">
        <f t="shared" si="51"/>
        <v>3</v>
      </c>
      <c r="M652">
        <f t="shared" ca="1" si="54"/>
        <v>9</v>
      </c>
      <c r="N652" s="15">
        <f t="shared" si="52"/>
        <v>37500</v>
      </c>
      <c r="O652" t="str">
        <f t="shared" ca="1" si="53"/>
        <v>0-30 Days</v>
      </c>
    </row>
    <row r="653" spans="1:15" x14ac:dyDescent="0.3">
      <c r="A653" s="6" t="s">
        <v>1170</v>
      </c>
      <c r="B653" s="7" t="s">
        <v>268</v>
      </c>
      <c r="C653" s="6" t="s">
        <v>33</v>
      </c>
      <c r="D653" s="2" t="str">
        <f t="shared" si="50"/>
        <v>Apr</v>
      </c>
      <c r="E653" s="25" t="s">
        <v>477</v>
      </c>
      <c r="F653" s="21" t="s">
        <v>576</v>
      </c>
      <c r="G653" s="21" t="s">
        <v>1144</v>
      </c>
      <c r="H653" s="21"/>
      <c r="I653" s="8">
        <v>22000</v>
      </c>
      <c r="J653" s="8">
        <v>0</v>
      </c>
      <c r="K653" s="10" t="s">
        <v>57</v>
      </c>
      <c r="L653">
        <f t="shared" si="51"/>
        <v>3</v>
      </c>
      <c r="M653">
        <f t="shared" ca="1" si="54"/>
        <v>427</v>
      </c>
      <c r="N653" s="15">
        <f t="shared" si="52"/>
        <v>22000</v>
      </c>
      <c r="O653" t="str">
        <f t="shared" ca="1" si="53"/>
        <v>90+ Days</v>
      </c>
    </row>
    <row r="654" spans="1:15" x14ac:dyDescent="0.3">
      <c r="A654" s="2" t="s">
        <v>1171</v>
      </c>
      <c r="B654" s="3" t="s">
        <v>492</v>
      </c>
      <c r="C654" s="2" t="s">
        <v>26</v>
      </c>
      <c r="D654" s="2" t="str">
        <f t="shared" si="50"/>
        <v>Jun</v>
      </c>
      <c r="E654" s="24" t="s">
        <v>153</v>
      </c>
      <c r="F654" s="20" t="s">
        <v>350</v>
      </c>
      <c r="G654" s="20" t="s">
        <v>351</v>
      </c>
      <c r="H654" s="20"/>
      <c r="I654" s="4">
        <v>8000</v>
      </c>
      <c r="J654" s="4">
        <v>0</v>
      </c>
      <c r="K654" s="11" t="s">
        <v>63</v>
      </c>
      <c r="L654">
        <f t="shared" si="51"/>
        <v>1</v>
      </c>
      <c r="M654">
        <f t="shared" ca="1" si="54"/>
        <v>361</v>
      </c>
      <c r="N654" s="15">
        <f t="shared" si="52"/>
        <v>8000</v>
      </c>
      <c r="O654" t="str">
        <f t="shared" ca="1" si="53"/>
        <v>90+ Days</v>
      </c>
    </row>
    <row r="655" spans="1:15" x14ac:dyDescent="0.3">
      <c r="A655" s="6" t="s">
        <v>1172</v>
      </c>
      <c r="B655" s="7" t="s">
        <v>313</v>
      </c>
      <c r="C655" s="6" t="s">
        <v>33</v>
      </c>
      <c r="D655" s="2" t="str">
        <f t="shared" si="50"/>
        <v>Mar</v>
      </c>
      <c r="E655" s="25" t="s">
        <v>451</v>
      </c>
      <c r="F655" s="21" t="s">
        <v>381</v>
      </c>
      <c r="G655" s="21" t="s">
        <v>1017</v>
      </c>
      <c r="H655" s="21"/>
      <c r="I655" s="8">
        <v>18000</v>
      </c>
      <c r="J655" s="8">
        <v>0</v>
      </c>
      <c r="K655" s="10" t="s">
        <v>57</v>
      </c>
      <c r="L655">
        <f t="shared" si="51"/>
        <v>3</v>
      </c>
      <c r="M655">
        <f t="shared" ca="1" si="54"/>
        <v>442</v>
      </c>
      <c r="N655" s="15">
        <f t="shared" si="52"/>
        <v>18000</v>
      </c>
      <c r="O655" t="str">
        <f t="shared" ca="1" si="53"/>
        <v>90+ Days</v>
      </c>
    </row>
    <row r="656" spans="1:15" x14ac:dyDescent="0.3">
      <c r="A656" s="2" t="s">
        <v>1173</v>
      </c>
      <c r="B656" s="3" t="s">
        <v>876</v>
      </c>
      <c r="C656" s="2" t="s">
        <v>12</v>
      </c>
      <c r="D656" s="2" t="str">
        <f t="shared" si="50"/>
        <v>Sep</v>
      </c>
      <c r="E656" s="24" t="s">
        <v>667</v>
      </c>
      <c r="F656" s="20" t="s">
        <v>116</v>
      </c>
      <c r="G656" s="20" t="s">
        <v>694</v>
      </c>
      <c r="H656" s="20" t="s">
        <v>376</v>
      </c>
      <c r="I656" s="4">
        <v>12000</v>
      </c>
      <c r="J656" s="4">
        <v>12000</v>
      </c>
      <c r="K656" s="9" t="s">
        <v>45</v>
      </c>
      <c r="L656">
        <f t="shared" si="51"/>
        <v>1</v>
      </c>
      <c r="M656">
        <f t="shared" ca="1" si="54"/>
        <v>36</v>
      </c>
      <c r="N656" s="15">
        <f t="shared" si="52"/>
        <v>0</v>
      </c>
      <c r="O656" t="str">
        <f t="shared" ca="1" si="53"/>
        <v>31-60 Days</v>
      </c>
    </row>
    <row r="657" spans="1:15" x14ac:dyDescent="0.3">
      <c r="A657" s="6" t="s">
        <v>1174</v>
      </c>
      <c r="B657" s="7" t="s">
        <v>802</v>
      </c>
      <c r="C657" s="6" t="s">
        <v>12</v>
      </c>
      <c r="D657" s="2" t="str">
        <f t="shared" si="50"/>
        <v>Apr</v>
      </c>
      <c r="E657" s="25" t="s">
        <v>539</v>
      </c>
      <c r="F657" s="21" t="s">
        <v>50</v>
      </c>
      <c r="G657" s="21" t="s">
        <v>224</v>
      </c>
      <c r="H657" s="21" t="s">
        <v>1017</v>
      </c>
      <c r="I657" s="8">
        <v>50000</v>
      </c>
      <c r="J657" s="8">
        <v>50000</v>
      </c>
      <c r="K657" s="5" t="s">
        <v>17</v>
      </c>
      <c r="L657">
        <f t="shared" si="51"/>
        <v>1</v>
      </c>
      <c r="M657">
        <f t="shared" ca="1" si="54"/>
        <v>9</v>
      </c>
      <c r="N657" s="15">
        <f t="shared" si="52"/>
        <v>0</v>
      </c>
      <c r="O657" t="str">
        <f t="shared" ca="1" si="53"/>
        <v>0-30 Days</v>
      </c>
    </row>
    <row r="658" spans="1:15" x14ac:dyDescent="0.3">
      <c r="A658" s="2" t="s">
        <v>1175</v>
      </c>
      <c r="B658" s="3" t="s">
        <v>25</v>
      </c>
      <c r="C658" s="2" t="s">
        <v>26</v>
      </c>
      <c r="D658" s="2" t="str">
        <f t="shared" si="50"/>
        <v>Nov</v>
      </c>
      <c r="E658" s="24" t="s">
        <v>278</v>
      </c>
      <c r="F658" s="20" t="s">
        <v>260</v>
      </c>
      <c r="G658" s="20" t="s">
        <v>631</v>
      </c>
      <c r="H658" s="20" t="s">
        <v>390</v>
      </c>
      <c r="I658" s="4">
        <v>40000</v>
      </c>
      <c r="J658" s="4">
        <v>40000</v>
      </c>
      <c r="K658" s="9" t="s">
        <v>45</v>
      </c>
      <c r="L658">
        <f t="shared" si="51"/>
        <v>3</v>
      </c>
      <c r="M658">
        <f t="shared" ca="1" si="54"/>
        <v>46</v>
      </c>
      <c r="N658" s="15">
        <f t="shared" si="52"/>
        <v>0</v>
      </c>
      <c r="O658" t="str">
        <f t="shared" ca="1" si="53"/>
        <v>31-60 Days</v>
      </c>
    </row>
    <row r="659" spans="1:15" x14ac:dyDescent="0.3">
      <c r="A659" s="6" t="s">
        <v>1176</v>
      </c>
      <c r="B659" s="7" t="s">
        <v>221</v>
      </c>
      <c r="C659" s="6" t="s">
        <v>12</v>
      </c>
      <c r="D659" s="2" t="str">
        <f t="shared" si="50"/>
        <v>Oct</v>
      </c>
      <c r="E659" s="25" t="s">
        <v>243</v>
      </c>
      <c r="F659" s="21" t="s">
        <v>133</v>
      </c>
      <c r="G659" s="21" t="s">
        <v>326</v>
      </c>
      <c r="H659" s="21" t="s">
        <v>126</v>
      </c>
      <c r="I659" s="8">
        <v>8000</v>
      </c>
      <c r="J659" s="8">
        <v>8000</v>
      </c>
      <c r="K659" s="5" t="s">
        <v>17</v>
      </c>
      <c r="L659">
        <f t="shared" si="51"/>
        <v>2</v>
      </c>
      <c r="M659">
        <f t="shared" ca="1" si="54"/>
        <v>17</v>
      </c>
      <c r="N659" s="15">
        <f t="shared" si="52"/>
        <v>0</v>
      </c>
      <c r="O659" t="str">
        <f t="shared" ca="1" si="53"/>
        <v>0-30 Days</v>
      </c>
    </row>
    <row r="660" spans="1:15" x14ac:dyDescent="0.3">
      <c r="A660" s="2" t="s">
        <v>1177</v>
      </c>
      <c r="B660" s="3" t="s">
        <v>457</v>
      </c>
      <c r="C660" s="2" t="s">
        <v>40</v>
      </c>
      <c r="D660" s="2" t="str">
        <f t="shared" si="50"/>
        <v>Aug</v>
      </c>
      <c r="E660" s="24" t="s">
        <v>333</v>
      </c>
      <c r="F660" s="20" t="s">
        <v>56</v>
      </c>
      <c r="G660" s="20" t="s">
        <v>542</v>
      </c>
      <c r="H660" s="20" t="s">
        <v>289</v>
      </c>
      <c r="I660" s="4">
        <v>45000</v>
      </c>
      <c r="J660" s="4">
        <v>45000</v>
      </c>
      <c r="K660" s="5" t="s">
        <v>17</v>
      </c>
      <c r="L660">
        <f t="shared" si="51"/>
        <v>1</v>
      </c>
      <c r="M660">
        <f t="shared" ca="1" si="54"/>
        <v>22</v>
      </c>
      <c r="N660" s="15">
        <f t="shared" si="52"/>
        <v>0</v>
      </c>
      <c r="O660" t="str">
        <f t="shared" ca="1" si="53"/>
        <v>0-30 Days</v>
      </c>
    </row>
    <row r="661" spans="1:15" x14ac:dyDescent="0.3">
      <c r="A661" s="6" t="s">
        <v>1178</v>
      </c>
      <c r="B661" s="7" t="s">
        <v>794</v>
      </c>
      <c r="C661" s="6" t="s">
        <v>12</v>
      </c>
      <c r="D661" s="2" t="str">
        <f t="shared" si="50"/>
        <v>Jan</v>
      </c>
      <c r="E661" s="25" t="s">
        <v>462</v>
      </c>
      <c r="F661" s="21" t="s">
        <v>637</v>
      </c>
      <c r="G661" s="21" t="s">
        <v>770</v>
      </c>
      <c r="H661" s="21" t="s">
        <v>230</v>
      </c>
      <c r="I661" s="8">
        <v>100000</v>
      </c>
      <c r="J661" s="8">
        <v>100000</v>
      </c>
      <c r="K661" s="5" t="s">
        <v>17</v>
      </c>
      <c r="L661">
        <f t="shared" si="51"/>
        <v>2</v>
      </c>
      <c r="M661">
        <f t="shared" ca="1" si="54"/>
        <v>20</v>
      </c>
      <c r="N661" s="15">
        <f t="shared" si="52"/>
        <v>0</v>
      </c>
      <c r="O661" t="str">
        <f t="shared" ca="1" si="53"/>
        <v>0-30 Days</v>
      </c>
    </row>
    <row r="662" spans="1:15" x14ac:dyDescent="0.3">
      <c r="A662" s="2" t="s">
        <v>1179</v>
      </c>
      <c r="B662" s="3" t="s">
        <v>347</v>
      </c>
      <c r="C662" s="2" t="s">
        <v>12</v>
      </c>
      <c r="D662" s="2" t="str">
        <f t="shared" si="50"/>
        <v>Oct</v>
      </c>
      <c r="E662" s="24" t="s">
        <v>623</v>
      </c>
      <c r="F662" s="20" t="s">
        <v>602</v>
      </c>
      <c r="G662" s="20" t="s">
        <v>137</v>
      </c>
      <c r="H662" s="20" t="s">
        <v>173</v>
      </c>
      <c r="I662" s="4">
        <v>75000</v>
      </c>
      <c r="J662" s="4">
        <v>75000</v>
      </c>
      <c r="K662" s="5" t="s">
        <v>17</v>
      </c>
      <c r="L662">
        <f t="shared" si="51"/>
        <v>3</v>
      </c>
      <c r="M662">
        <f t="shared" ca="1" si="54"/>
        <v>10</v>
      </c>
      <c r="N662" s="15">
        <f t="shared" si="52"/>
        <v>0</v>
      </c>
      <c r="O662" t="str">
        <f t="shared" ca="1" si="53"/>
        <v>0-30 Days</v>
      </c>
    </row>
    <row r="663" spans="1:15" x14ac:dyDescent="0.3">
      <c r="A663" s="6" t="s">
        <v>1180</v>
      </c>
      <c r="B663" s="7" t="s">
        <v>32</v>
      </c>
      <c r="C663" s="6" t="s">
        <v>33</v>
      </c>
      <c r="D663" s="2" t="str">
        <f t="shared" si="50"/>
        <v>Jun</v>
      </c>
      <c r="E663" s="25" t="s">
        <v>112</v>
      </c>
      <c r="F663" s="21" t="s">
        <v>294</v>
      </c>
      <c r="G663" s="21" t="s">
        <v>345</v>
      </c>
      <c r="H663" s="21" t="s">
        <v>353</v>
      </c>
      <c r="I663" s="8">
        <v>40000</v>
      </c>
      <c r="J663" s="8">
        <v>40000</v>
      </c>
      <c r="K663" s="5" t="s">
        <v>17</v>
      </c>
      <c r="L663">
        <f t="shared" si="51"/>
        <v>3</v>
      </c>
      <c r="M663">
        <f t="shared" ca="1" si="54"/>
        <v>13</v>
      </c>
      <c r="N663" s="15">
        <f t="shared" si="52"/>
        <v>0</v>
      </c>
      <c r="O663" t="str">
        <f t="shared" ca="1" si="53"/>
        <v>0-30 Days</v>
      </c>
    </row>
    <row r="664" spans="1:15" x14ac:dyDescent="0.3">
      <c r="A664" s="2" t="s">
        <v>1181</v>
      </c>
      <c r="B664" s="3" t="s">
        <v>207</v>
      </c>
      <c r="C664" s="2" t="s">
        <v>12</v>
      </c>
      <c r="D664" s="2" t="str">
        <f t="shared" si="50"/>
        <v>Aug</v>
      </c>
      <c r="E664" s="24" t="s">
        <v>908</v>
      </c>
      <c r="F664" s="20" t="s">
        <v>88</v>
      </c>
      <c r="G664" s="20" t="s">
        <v>416</v>
      </c>
      <c r="H664" s="20"/>
      <c r="I664" s="4">
        <v>100000</v>
      </c>
      <c r="J664" s="4">
        <v>0</v>
      </c>
      <c r="K664" s="12" t="s">
        <v>71</v>
      </c>
      <c r="L664">
        <f t="shared" si="51"/>
        <v>3</v>
      </c>
      <c r="M664">
        <f t="shared" ca="1" si="54"/>
        <v>287</v>
      </c>
      <c r="N664" s="15">
        <f t="shared" si="52"/>
        <v>100000</v>
      </c>
      <c r="O664" t="str">
        <f t="shared" ca="1" si="53"/>
        <v>90+ Days</v>
      </c>
    </row>
    <row r="665" spans="1:15" x14ac:dyDescent="0.3">
      <c r="A665" s="6" t="s">
        <v>1182</v>
      </c>
      <c r="B665" s="7" t="s">
        <v>78</v>
      </c>
      <c r="C665" s="6" t="s">
        <v>33</v>
      </c>
      <c r="D665" s="2" t="str">
        <f t="shared" si="50"/>
        <v>Mar</v>
      </c>
      <c r="E665" s="25" t="s">
        <v>421</v>
      </c>
      <c r="F665" s="21" t="s">
        <v>298</v>
      </c>
      <c r="G665" s="21" t="s">
        <v>204</v>
      </c>
      <c r="H665" s="21" t="s">
        <v>564</v>
      </c>
      <c r="I665" s="8">
        <v>40000</v>
      </c>
      <c r="J665" s="8">
        <v>40000</v>
      </c>
      <c r="K665" s="9" t="s">
        <v>45</v>
      </c>
      <c r="L665">
        <f t="shared" si="51"/>
        <v>1</v>
      </c>
      <c r="M665">
        <f t="shared" ca="1" si="54"/>
        <v>39</v>
      </c>
      <c r="N665" s="15">
        <f t="shared" si="52"/>
        <v>0</v>
      </c>
      <c r="O665" t="str">
        <f t="shared" ca="1" si="53"/>
        <v>31-60 Days</v>
      </c>
    </row>
    <row r="666" spans="1:15" x14ac:dyDescent="0.3">
      <c r="A666" s="2" t="s">
        <v>1183</v>
      </c>
      <c r="B666" s="3" t="s">
        <v>454</v>
      </c>
      <c r="C666" s="2" t="s">
        <v>12</v>
      </c>
      <c r="D666" s="2" t="str">
        <f t="shared" si="50"/>
        <v>Jan</v>
      </c>
      <c r="E666" s="24" t="s">
        <v>104</v>
      </c>
      <c r="F666" s="20" t="s">
        <v>105</v>
      </c>
      <c r="G666" s="20" t="s">
        <v>106</v>
      </c>
      <c r="H666" s="20" t="s">
        <v>429</v>
      </c>
      <c r="I666" s="4">
        <v>12000</v>
      </c>
      <c r="J666" s="4">
        <v>12000</v>
      </c>
      <c r="K666" s="5" t="s">
        <v>17</v>
      </c>
      <c r="L666">
        <f t="shared" si="51"/>
        <v>1</v>
      </c>
      <c r="M666">
        <f t="shared" ca="1" si="54"/>
        <v>10</v>
      </c>
      <c r="N666" s="15">
        <f t="shared" si="52"/>
        <v>0</v>
      </c>
      <c r="O666" t="str">
        <f t="shared" ca="1" si="53"/>
        <v>0-30 Days</v>
      </c>
    </row>
    <row r="667" spans="1:15" x14ac:dyDescent="0.3">
      <c r="A667" s="6" t="s">
        <v>1184</v>
      </c>
      <c r="B667" s="7" t="s">
        <v>336</v>
      </c>
      <c r="C667" s="6" t="s">
        <v>26</v>
      </c>
      <c r="D667" s="2" t="str">
        <f t="shared" si="50"/>
        <v>May</v>
      </c>
      <c r="E667" s="25" t="s">
        <v>564</v>
      </c>
      <c r="F667" s="21" t="s">
        <v>163</v>
      </c>
      <c r="G667" s="21" t="s">
        <v>792</v>
      </c>
      <c r="H667" s="21"/>
      <c r="I667" s="8">
        <v>75000</v>
      </c>
      <c r="J667" s="8">
        <v>0</v>
      </c>
      <c r="K667" s="10" t="s">
        <v>57</v>
      </c>
      <c r="L667">
        <f t="shared" si="51"/>
        <v>3</v>
      </c>
      <c r="M667">
        <f t="shared" ca="1" si="54"/>
        <v>407</v>
      </c>
      <c r="N667" s="15">
        <f t="shared" si="52"/>
        <v>75000</v>
      </c>
      <c r="O667" t="str">
        <f t="shared" ca="1" si="53"/>
        <v>90+ Days</v>
      </c>
    </row>
    <row r="668" spans="1:15" x14ac:dyDescent="0.3">
      <c r="A668" s="2" t="s">
        <v>1185</v>
      </c>
      <c r="B668" s="3" t="s">
        <v>553</v>
      </c>
      <c r="C668" s="2" t="s">
        <v>12</v>
      </c>
      <c r="D668" s="2" t="str">
        <f t="shared" si="50"/>
        <v>Jul</v>
      </c>
      <c r="E668" s="24" t="s">
        <v>54</v>
      </c>
      <c r="F668" s="20" t="s">
        <v>634</v>
      </c>
      <c r="G668" s="20" t="s">
        <v>635</v>
      </c>
      <c r="H668" s="20"/>
      <c r="I668" s="4">
        <v>5000</v>
      </c>
      <c r="J668" s="4">
        <v>0</v>
      </c>
      <c r="K668" s="12" t="s">
        <v>71</v>
      </c>
      <c r="L668">
        <f t="shared" si="51"/>
        <v>3</v>
      </c>
      <c r="M668">
        <f t="shared" ca="1" si="54"/>
        <v>345</v>
      </c>
      <c r="N668" s="15">
        <f t="shared" si="52"/>
        <v>5000</v>
      </c>
      <c r="O668" t="str">
        <f t="shared" ca="1" si="53"/>
        <v>90+ Days</v>
      </c>
    </row>
    <row r="669" spans="1:15" x14ac:dyDescent="0.3">
      <c r="A669" s="6" t="s">
        <v>1186</v>
      </c>
      <c r="B669" s="7" t="s">
        <v>802</v>
      </c>
      <c r="C669" s="6" t="s">
        <v>12</v>
      </c>
      <c r="D669" s="2" t="str">
        <f t="shared" si="50"/>
        <v>Oct</v>
      </c>
      <c r="E669" s="25" t="s">
        <v>121</v>
      </c>
      <c r="F669" s="21" t="s">
        <v>392</v>
      </c>
      <c r="G669" s="21" t="s">
        <v>547</v>
      </c>
      <c r="H669" s="21" t="s">
        <v>127</v>
      </c>
      <c r="I669" s="8">
        <v>20000</v>
      </c>
      <c r="J669" s="8">
        <v>20000</v>
      </c>
      <c r="K669" s="9" t="s">
        <v>45</v>
      </c>
      <c r="L669">
        <f t="shared" si="51"/>
        <v>3</v>
      </c>
      <c r="M669">
        <f t="shared" ca="1" si="54"/>
        <v>37</v>
      </c>
      <c r="N669" s="15">
        <f t="shared" si="52"/>
        <v>0</v>
      </c>
      <c r="O669" t="str">
        <f t="shared" ca="1" si="53"/>
        <v>31-60 Days</v>
      </c>
    </row>
    <row r="670" spans="1:15" x14ac:dyDescent="0.3">
      <c r="A670" s="2" t="s">
        <v>1187</v>
      </c>
      <c r="B670" s="3" t="s">
        <v>727</v>
      </c>
      <c r="C670" s="2" t="s">
        <v>12</v>
      </c>
      <c r="D670" s="2" t="str">
        <f t="shared" si="50"/>
        <v>Oct</v>
      </c>
      <c r="E670" s="24" t="s">
        <v>432</v>
      </c>
      <c r="F670" s="20" t="s">
        <v>437</v>
      </c>
      <c r="G670" s="20" t="s">
        <v>128</v>
      </c>
      <c r="H670" s="20" t="s">
        <v>707</v>
      </c>
      <c r="I670" s="4">
        <v>25000</v>
      </c>
      <c r="J670" s="4">
        <v>25000</v>
      </c>
      <c r="K670" s="5" t="s">
        <v>17</v>
      </c>
      <c r="L670">
        <f t="shared" si="51"/>
        <v>2</v>
      </c>
      <c r="M670">
        <f t="shared" ca="1" si="54"/>
        <v>7</v>
      </c>
      <c r="N670" s="15">
        <f t="shared" si="52"/>
        <v>0</v>
      </c>
      <c r="O670" t="str">
        <f t="shared" ca="1" si="53"/>
        <v>0-30 Days</v>
      </c>
    </row>
    <row r="671" spans="1:15" x14ac:dyDescent="0.3">
      <c r="A671" s="6" t="s">
        <v>1188</v>
      </c>
      <c r="B671" s="7" t="s">
        <v>207</v>
      </c>
      <c r="C671" s="6" t="s">
        <v>12</v>
      </c>
      <c r="D671" s="2" t="str">
        <f t="shared" si="50"/>
        <v>Apr</v>
      </c>
      <c r="E671" s="25" t="s">
        <v>1017</v>
      </c>
      <c r="F671" s="21" t="s">
        <v>383</v>
      </c>
      <c r="G671" s="21" t="s">
        <v>517</v>
      </c>
      <c r="H671" s="21" t="s">
        <v>41</v>
      </c>
      <c r="I671" s="8">
        <v>40000</v>
      </c>
      <c r="J671" s="8">
        <v>40000</v>
      </c>
      <c r="K671" s="5" t="s">
        <v>17</v>
      </c>
      <c r="L671">
        <f t="shared" si="51"/>
        <v>3</v>
      </c>
      <c r="M671">
        <f t="shared" ca="1" si="54"/>
        <v>20</v>
      </c>
      <c r="N671" s="15">
        <f t="shared" si="52"/>
        <v>0</v>
      </c>
      <c r="O671" t="str">
        <f t="shared" ca="1" si="53"/>
        <v>0-30 Days</v>
      </c>
    </row>
    <row r="672" spans="1:15" x14ac:dyDescent="0.3">
      <c r="A672" s="2" t="s">
        <v>1189</v>
      </c>
      <c r="B672" s="3" t="s">
        <v>572</v>
      </c>
      <c r="C672" s="2" t="s">
        <v>26</v>
      </c>
      <c r="D672" s="2" t="str">
        <f t="shared" si="50"/>
        <v>Jun</v>
      </c>
      <c r="E672" s="24" t="s">
        <v>153</v>
      </c>
      <c r="F672" s="20" t="s">
        <v>879</v>
      </c>
      <c r="G672" s="20" t="s">
        <v>765</v>
      </c>
      <c r="H672" s="20"/>
      <c r="I672" s="4">
        <v>30000</v>
      </c>
      <c r="J672" s="4">
        <v>0</v>
      </c>
      <c r="K672" s="10" t="s">
        <v>57</v>
      </c>
      <c r="L672">
        <f t="shared" si="51"/>
        <v>3</v>
      </c>
      <c r="M672">
        <f t="shared" ca="1" si="54"/>
        <v>359</v>
      </c>
      <c r="N672" s="15">
        <f t="shared" si="52"/>
        <v>30000</v>
      </c>
      <c r="O672" t="str">
        <f t="shared" ca="1" si="53"/>
        <v>90+ Days</v>
      </c>
    </row>
    <row r="673" spans="1:15" x14ac:dyDescent="0.3">
      <c r="A673" s="6" t="s">
        <v>1190</v>
      </c>
      <c r="B673" s="7" t="s">
        <v>500</v>
      </c>
      <c r="C673" s="6" t="s">
        <v>12</v>
      </c>
      <c r="D673" s="2" t="str">
        <f t="shared" si="50"/>
        <v>Apr</v>
      </c>
      <c r="E673" s="25" t="s">
        <v>219</v>
      </c>
      <c r="F673" s="21" t="s">
        <v>382</v>
      </c>
      <c r="G673" s="21" t="s">
        <v>383</v>
      </c>
      <c r="H673" s="21" t="s">
        <v>412</v>
      </c>
      <c r="I673" s="8">
        <v>8000</v>
      </c>
      <c r="J673" s="8">
        <v>8000</v>
      </c>
      <c r="K673" s="5" t="s">
        <v>17</v>
      </c>
      <c r="L673">
        <f t="shared" si="51"/>
        <v>2</v>
      </c>
      <c r="M673">
        <f t="shared" ca="1" si="54"/>
        <v>23</v>
      </c>
      <c r="N673" s="15">
        <f t="shared" si="52"/>
        <v>0</v>
      </c>
      <c r="O673" t="str">
        <f t="shared" ca="1" si="53"/>
        <v>0-30 Days</v>
      </c>
    </row>
    <row r="674" spans="1:15" x14ac:dyDescent="0.3">
      <c r="A674" s="2" t="s">
        <v>1191</v>
      </c>
      <c r="B674" s="3" t="s">
        <v>519</v>
      </c>
      <c r="C674" s="2" t="s">
        <v>12</v>
      </c>
      <c r="D674" s="2" t="str">
        <f t="shared" si="50"/>
        <v>Mar</v>
      </c>
      <c r="E674" s="24" t="s">
        <v>202</v>
      </c>
      <c r="F674" s="20" t="s">
        <v>23</v>
      </c>
      <c r="G674" s="20" t="s">
        <v>467</v>
      </c>
      <c r="H674" s="20"/>
      <c r="I674" s="4">
        <v>45000</v>
      </c>
      <c r="J674" s="4">
        <v>0</v>
      </c>
      <c r="K674" s="10" t="s">
        <v>57</v>
      </c>
      <c r="L674">
        <f t="shared" si="51"/>
        <v>1</v>
      </c>
      <c r="M674">
        <f t="shared" ca="1" si="54"/>
        <v>458</v>
      </c>
      <c r="N674" s="15">
        <f t="shared" si="52"/>
        <v>45000</v>
      </c>
      <c r="O674" t="str">
        <f t="shared" ca="1" si="53"/>
        <v>90+ Days</v>
      </c>
    </row>
    <row r="675" spans="1:15" x14ac:dyDescent="0.3">
      <c r="A675" s="6" t="s">
        <v>1192</v>
      </c>
      <c r="B675" s="7" t="s">
        <v>212</v>
      </c>
      <c r="C675" s="6" t="s">
        <v>12</v>
      </c>
      <c r="D675" s="2" t="str">
        <f t="shared" si="50"/>
        <v>Jul</v>
      </c>
      <c r="E675" s="25" t="s">
        <v>86</v>
      </c>
      <c r="F675" s="21" t="s">
        <v>888</v>
      </c>
      <c r="G675" s="21" t="s">
        <v>730</v>
      </c>
      <c r="H675" s="21" t="s">
        <v>60</v>
      </c>
      <c r="I675" s="8">
        <v>12000</v>
      </c>
      <c r="J675" s="8">
        <v>12000</v>
      </c>
      <c r="K675" s="9" t="s">
        <v>45</v>
      </c>
      <c r="L675">
        <f t="shared" si="51"/>
        <v>3</v>
      </c>
      <c r="M675">
        <f t="shared" ca="1" si="54"/>
        <v>41</v>
      </c>
      <c r="N675" s="15">
        <f t="shared" si="52"/>
        <v>0</v>
      </c>
      <c r="O675" t="str">
        <f t="shared" ca="1" si="53"/>
        <v>31-60 Days</v>
      </c>
    </row>
    <row r="676" spans="1:15" x14ac:dyDescent="0.3">
      <c r="A676" s="2" t="s">
        <v>1193</v>
      </c>
      <c r="B676" s="3" t="s">
        <v>165</v>
      </c>
      <c r="C676" s="2" t="s">
        <v>26</v>
      </c>
      <c r="D676" s="2" t="str">
        <f t="shared" si="50"/>
        <v>Jun</v>
      </c>
      <c r="E676" s="24" t="s">
        <v>397</v>
      </c>
      <c r="F676" s="20" t="s">
        <v>294</v>
      </c>
      <c r="G676" s="20" t="s">
        <v>345</v>
      </c>
      <c r="H676" s="20"/>
      <c r="I676" s="4">
        <v>25000</v>
      </c>
      <c r="J676" s="4">
        <v>0</v>
      </c>
      <c r="K676" s="12" t="s">
        <v>71</v>
      </c>
      <c r="L676">
        <f t="shared" si="51"/>
        <v>1</v>
      </c>
      <c r="M676">
        <f t="shared" ca="1" si="54"/>
        <v>365</v>
      </c>
      <c r="N676" s="15">
        <f t="shared" si="52"/>
        <v>25000</v>
      </c>
      <c r="O676" t="str">
        <f t="shared" ca="1" si="53"/>
        <v>90+ Days</v>
      </c>
    </row>
    <row r="677" spans="1:15" x14ac:dyDescent="0.3">
      <c r="A677" s="6" t="s">
        <v>1194</v>
      </c>
      <c r="B677" s="7" t="s">
        <v>361</v>
      </c>
      <c r="C677" s="6" t="s">
        <v>12</v>
      </c>
      <c r="D677" s="2" t="str">
        <f t="shared" si="50"/>
        <v>Nov</v>
      </c>
      <c r="E677" s="25" t="s">
        <v>166</v>
      </c>
      <c r="F677" s="21" t="s">
        <v>142</v>
      </c>
      <c r="G677" s="21" t="s">
        <v>580</v>
      </c>
      <c r="H677" s="21" t="s">
        <v>146</v>
      </c>
      <c r="I677" s="8">
        <v>75000</v>
      </c>
      <c r="J677" s="8">
        <v>75000</v>
      </c>
      <c r="K677" s="5" t="s">
        <v>17</v>
      </c>
      <c r="L677">
        <f t="shared" si="51"/>
        <v>2</v>
      </c>
      <c r="M677">
        <f t="shared" ca="1" si="54"/>
        <v>22</v>
      </c>
      <c r="N677" s="15">
        <f t="shared" si="52"/>
        <v>0</v>
      </c>
      <c r="O677" t="str">
        <f t="shared" ca="1" si="53"/>
        <v>0-30 Days</v>
      </c>
    </row>
    <row r="678" spans="1:15" x14ac:dyDescent="0.3">
      <c r="A678" s="2" t="s">
        <v>1195</v>
      </c>
      <c r="B678" s="3" t="s">
        <v>434</v>
      </c>
      <c r="C678" s="2" t="s">
        <v>12</v>
      </c>
      <c r="D678" s="2" t="str">
        <f t="shared" si="50"/>
        <v>Nov</v>
      </c>
      <c r="E678" s="24" t="s">
        <v>278</v>
      </c>
      <c r="F678" s="20" t="s">
        <v>418</v>
      </c>
      <c r="G678" s="20" t="s">
        <v>286</v>
      </c>
      <c r="H678" s="20" t="s">
        <v>848</v>
      </c>
      <c r="I678" s="4">
        <v>40000</v>
      </c>
      <c r="J678" s="4">
        <v>40000</v>
      </c>
      <c r="K678" s="9" t="s">
        <v>45</v>
      </c>
      <c r="L678">
        <f t="shared" si="51"/>
        <v>2</v>
      </c>
      <c r="M678">
        <f t="shared" ca="1" si="54"/>
        <v>57</v>
      </c>
      <c r="N678" s="15">
        <f t="shared" si="52"/>
        <v>0</v>
      </c>
      <c r="O678" t="str">
        <f t="shared" ca="1" si="53"/>
        <v>31-60 Days</v>
      </c>
    </row>
    <row r="679" spans="1:15" x14ac:dyDescent="0.3">
      <c r="A679" s="6" t="s">
        <v>1196</v>
      </c>
      <c r="B679" s="7" t="s">
        <v>336</v>
      </c>
      <c r="C679" s="6" t="s">
        <v>26</v>
      </c>
      <c r="D679" s="2" t="str">
        <f t="shared" si="50"/>
        <v>Jul</v>
      </c>
      <c r="E679" s="25" t="s">
        <v>194</v>
      </c>
      <c r="F679" s="21" t="s">
        <v>344</v>
      </c>
      <c r="G679" s="21" t="s">
        <v>815</v>
      </c>
      <c r="H679" s="21" t="s">
        <v>195</v>
      </c>
      <c r="I679" s="8">
        <v>60000</v>
      </c>
      <c r="J679" s="8">
        <v>60000</v>
      </c>
      <c r="K679" s="5" t="s">
        <v>17</v>
      </c>
      <c r="L679">
        <f t="shared" si="51"/>
        <v>2</v>
      </c>
      <c r="M679">
        <f t="shared" ca="1" si="54"/>
        <v>28</v>
      </c>
      <c r="N679" s="15">
        <f t="shared" si="52"/>
        <v>0</v>
      </c>
      <c r="O679" t="str">
        <f t="shared" ca="1" si="53"/>
        <v>0-30 Days</v>
      </c>
    </row>
    <row r="680" spans="1:15" x14ac:dyDescent="0.3">
      <c r="A680" s="2" t="s">
        <v>1197</v>
      </c>
      <c r="B680" s="3" t="s">
        <v>572</v>
      </c>
      <c r="C680" s="2" t="s">
        <v>26</v>
      </c>
      <c r="D680" s="2" t="str">
        <f t="shared" si="50"/>
        <v>Dec</v>
      </c>
      <c r="E680" s="24" t="s">
        <v>580</v>
      </c>
      <c r="F680" s="20" t="s">
        <v>93</v>
      </c>
      <c r="G680" s="20" t="s">
        <v>1198</v>
      </c>
      <c r="H680" s="20"/>
      <c r="I680" s="4">
        <v>12000</v>
      </c>
      <c r="J680" s="4">
        <v>0</v>
      </c>
      <c r="K680" s="10" t="s">
        <v>57</v>
      </c>
      <c r="L680">
        <f t="shared" si="51"/>
        <v>3</v>
      </c>
      <c r="M680">
        <f t="shared" ca="1" si="54"/>
        <v>169</v>
      </c>
      <c r="N680" s="15">
        <f t="shared" si="52"/>
        <v>12000</v>
      </c>
      <c r="O680" t="str">
        <f t="shared" ca="1" si="53"/>
        <v>90+ Days</v>
      </c>
    </row>
    <row r="681" spans="1:15" x14ac:dyDescent="0.3">
      <c r="A681" s="6" t="s">
        <v>1199</v>
      </c>
      <c r="B681" s="7" t="s">
        <v>103</v>
      </c>
      <c r="C681" s="6" t="s">
        <v>12</v>
      </c>
      <c r="D681" s="2" t="str">
        <f t="shared" si="50"/>
        <v>Oct</v>
      </c>
      <c r="E681" s="25" t="s">
        <v>121</v>
      </c>
      <c r="F681" s="21" t="s">
        <v>376</v>
      </c>
      <c r="G681" s="21" t="s">
        <v>136</v>
      </c>
      <c r="H681" s="21" t="s">
        <v>146</v>
      </c>
      <c r="I681" s="8">
        <v>25000</v>
      </c>
      <c r="J681" s="8">
        <v>25000</v>
      </c>
      <c r="K681" s="9" t="s">
        <v>45</v>
      </c>
      <c r="L681">
        <f t="shared" si="51"/>
        <v>1</v>
      </c>
      <c r="M681">
        <f t="shared" ca="1" si="54"/>
        <v>60</v>
      </c>
      <c r="N681" s="15">
        <f t="shared" si="52"/>
        <v>0</v>
      </c>
      <c r="O681" t="str">
        <f t="shared" ca="1" si="53"/>
        <v>31-60 Days</v>
      </c>
    </row>
    <row r="682" spans="1:15" x14ac:dyDescent="0.3">
      <c r="A682" s="2" t="s">
        <v>1200</v>
      </c>
      <c r="B682" s="3" t="s">
        <v>300</v>
      </c>
      <c r="C682" s="2" t="s">
        <v>12</v>
      </c>
      <c r="D682" s="2" t="str">
        <f t="shared" si="50"/>
        <v>Apr</v>
      </c>
      <c r="E682" s="24" t="s">
        <v>205</v>
      </c>
      <c r="F682" s="20" t="s">
        <v>452</v>
      </c>
      <c r="G682" s="20" t="s">
        <v>385</v>
      </c>
      <c r="H682" s="20" t="s">
        <v>366</v>
      </c>
      <c r="I682" s="4">
        <v>15000</v>
      </c>
      <c r="J682" s="4">
        <v>7500</v>
      </c>
      <c r="K682" s="13" t="s">
        <v>113</v>
      </c>
      <c r="L682">
        <f t="shared" si="51"/>
        <v>3</v>
      </c>
      <c r="M682">
        <f t="shared" ca="1" si="54"/>
        <v>14</v>
      </c>
      <c r="N682" s="15">
        <f t="shared" si="52"/>
        <v>7500</v>
      </c>
      <c r="O682" t="str">
        <f t="shared" ca="1" si="53"/>
        <v>0-30 Days</v>
      </c>
    </row>
    <row r="683" spans="1:15" x14ac:dyDescent="0.3">
      <c r="A683" s="6" t="s">
        <v>1201</v>
      </c>
      <c r="B683" s="7" t="s">
        <v>306</v>
      </c>
      <c r="C683" s="6" t="s">
        <v>12</v>
      </c>
      <c r="D683" s="2" t="str">
        <f t="shared" si="50"/>
        <v>Feb</v>
      </c>
      <c r="E683" s="25" t="s">
        <v>429</v>
      </c>
      <c r="F683" s="21" t="s">
        <v>30</v>
      </c>
      <c r="G683" s="21" t="s">
        <v>217</v>
      </c>
      <c r="H683" s="21"/>
      <c r="I683" s="8">
        <v>100000</v>
      </c>
      <c r="J683" s="8">
        <v>0</v>
      </c>
      <c r="K683" s="11" t="s">
        <v>63</v>
      </c>
      <c r="L683">
        <f t="shared" si="51"/>
        <v>1</v>
      </c>
      <c r="M683">
        <f t="shared" ca="1" si="54"/>
        <v>491</v>
      </c>
      <c r="N683" s="15">
        <f t="shared" si="52"/>
        <v>100000</v>
      </c>
      <c r="O683" t="str">
        <f t="shared" ca="1" si="53"/>
        <v>90+ Days</v>
      </c>
    </row>
    <row r="684" spans="1:15" x14ac:dyDescent="0.3">
      <c r="A684" s="2" t="s">
        <v>1202</v>
      </c>
      <c r="B684" s="3" t="s">
        <v>186</v>
      </c>
      <c r="C684" s="2" t="s">
        <v>26</v>
      </c>
      <c r="D684" s="2" t="str">
        <f t="shared" si="50"/>
        <v>Nov</v>
      </c>
      <c r="E684" s="24" t="s">
        <v>732</v>
      </c>
      <c r="F684" s="20" t="s">
        <v>441</v>
      </c>
      <c r="G684" s="20" t="s">
        <v>562</v>
      </c>
      <c r="H684" s="20" t="s">
        <v>75</v>
      </c>
      <c r="I684" s="4">
        <v>75000</v>
      </c>
      <c r="J684" s="4">
        <v>75000</v>
      </c>
      <c r="K684" s="5" t="s">
        <v>17</v>
      </c>
      <c r="L684">
        <f t="shared" si="51"/>
        <v>1</v>
      </c>
      <c r="M684">
        <f t="shared" ca="1" si="54"/>
        <v>13</v>
      </c>
      <c r="N684" s="15">
        <f t="shared" si="52"/>
        <v>0</v>
      </c>
      <c r="O684" t="str">
        <f t="shared" ca="1" si="53"/>
        <v>0-30 Days</v>
      </c>
    </row>
    <row r="685" spans="1:15" x14ac:dyDescent="0.3">
      <c r="A685" s="6" t="s">
        <v>1203</v>
      </c>
      <c r="B685" s="7" t="s">
        <v>280</v>
      </c>
      <c r="C685" s="6" t="s">
        <v>33</v>
      </c>
      <c r="D685" s="2" t="str">
        <f t="shared" si="50"/>
        <v>May</v>
      </c>
      <c r="E685" s="25" t="s">
        <v>235</v>
      </c>
      <c r="F685" s="21" t="s">
        <v>366</v>
      </c>
      <c r="G685" s="21" t="s">
        <v>474</v>
      </c>
      <c r="H685" s="21" t="s">
        <v>110</v>
      </c>
      <c r="I685" s="8">
        <v>10000</v>
      </c>
      <c r="J685" s="8">
        <v>10000</v>
      </c>
      <c r="K685" s="5" t="s">
        <v>17</v>
      </c>
      <c r="L685">
        <f t="shared" si="51"/>
        <v>3</v>
      </c>
      <c r="M685">
        <f t="shared" ca="1" si="54"/>
        <v>8</v>
      </c>
      <c r="N685" s="15">
        <f t="shared" si="52"/>
        <v>0</v>
      </c>
      <c r="O685" t="str">
        <f t="shared" ca="1" si="53"/>
        <v>0-30 Days</v>
      </c>
    </row>
    <row r="686" spans="1:15" x14ac:dyDescent="0.3">
      <c r="A686" s="2" t="s">
        <v>1204</v>
      </c>
      <c r="B686" s="3" t="s">
        <v>651</v>
      </c>
      <c r="C686" s="2" t="s">
        <v>12</v>
      </c>
      <c r="D686" s="2" t="str">
        <f t="shared" si="50"/>
        <v>Jan</v>
      </c>
      <c r="E686" s="24" t="s">
        <v>1093</v>
      </c>
      <c r="F686" s="20" t="s">
        <v>316</v>
      </c>
      <c r="G686" s="20" t="s">
        <v>230</v>
      </c>
      <c r="H686" s="20" t="s">
        <v>953</v>
      </c>
      <c r="I686" s="4">
        <v>12000</v>
      </c>
      <c r="J686" s="4">
        <v>12000</v>
      </c>
      <c r="K686" s="5" t="s">
        <v>17</v>
      </c>
      <c r="L686">
        <f t="shared" si="51"/>
        <v>1</v>
      </c>
      <c r="M686">
        <f t="shared" ca="1" si="54"/>
        <v>18</v>
      </c>
      <c r="N686" s="15">
        <f t="shared" si="52"/>
        <v>0</v>
      </c>
      <c r="O686" t="str">
        <f t="shared" ca="1" si="53"/>
        <v>0-30 Days</v>
      </c>
    </row>
    <row r="687" spans="1:15" x14ac:dyDescent="0.3">
      <c r="A687" s="6" t="s">
        <v>1205</v>
      </c>
      <c r="B687" s="7" t="s">
        <v>186</v>
      </c>
      <c r="C687" s="6" t="s">
        <v>26</v>
      </c>
      <c r="D687" s="2" t="str">
        <f t="shared" si="50"/>
        <v>Jul</v>
      </c>
      <c r="E687" s="25" t="s">
        <v>337</v>
      </c>
      <c r="F687" s="21" t="s">
        <v>340</v>
      </c>
      <c r="G687" s="21" t="s">
        <v>341</v>
      </c>
      <c r="H687" s="21" t="s">
        <v>534</v>
      </c>
      <c r="I687" s="8">
        <v>12000</v>
      </c>
      <c r="J687" s="8">
        <v>12000</v>
      </c>
      <c r="K687" s="5" t="s">
        <v>17</v>
      </c>
      <c r="L687">
        <f t="shared" si="51"/>
        <v>2</v>
      </c>
      <c r="M687">
        <f t="shared" ca="1" si="54"/>
        <v>17</v>
      </c>
      <c r="N687" s="15">
        <f t="shared" si="52"/>
        <v>0</v>
      </c>
      <c r="O687" t="str">
        <f t="shared" ca="1" si="53"/>
        <v>0-30 Days</v>
      </c>
    </row>
    <row r="688" spans="1:15" x14ac:dyDescent="0.3">
      <c r="A688" s="2" t="s">
        <v>1206</v>
      </c>
      <c r="B688" s="3" t="s">
        <v>53</v>
      </c>
      <c r="C688" s="2" t="s">
        <v>40</v>
      </c>
      <c r="D688" s="2" t="str">
        <f t="shared" si="50"/>
        <v>Sep</v>
      </c>
      <c r="E688" s="24" t="s">
        <v>542</v>
      </c>
      <c r="F688" s="20" t="s">
        <v>291</v>
      </c>
      <c r="G688" s="20" t="s">
        <v>647</v>
      </c>
      <c r="H688" s="20" t="s">
        <v>116</v>
      </c>
      <c r="I688" s="4">
        <v>40000</v>
      </c>
      <c r="J688" s="4">
        <v>40000</v>
      </c>
      <c r="K688" s="5" t="s">
        <v>17</v>
      </c>
      <c r="L688">
        <f t="shared" si="51"/>
        <v>3</v>
      </c>
      <c r="M688">
        <f t="shared" ca="1" si="54"/>
        <v>7</v>
      </c>
      <c r="N688" s="15">
        <f t="shared" si="52"/>
        <v>0</v>
      </c>
      <c r="O688" t="str">
        <f t="shared" ca="1" si="53"/>
        <v>0-30 Days</v>
      </c>
    </row>
    <row r="689" spans="1:15" x14ac:dyDescent="0.3">
      <c r="A689" s="6" t="s">
        <v>1207</v>
      </c>
      <c r="B689" s="7" t="s">
        <v>25</v>
      </c>
      <c r="C689" s="6" t="s">
        <v>26</v>
      </c>
      <c r="D689" s="2" t="str">
        <f t="shared" si="50"/>
        <v>May</v>
      </c>
      <c r="E689" s="25" t="s">
        <v>506</v>
      </c>
      <c r="F689" s="21" t="s">
        <v>507</v>
      </c>
      <c r="G689" s="21" t="s">
        <v>178</v>
      </c>
      <c r="H689" s="21" t="s">
        <v>396</v>
      </c>
      <c r="I689" s="8">
        <v>75000</v>
      </c>
      <c r="J689" s="8">
        <v>75000</v>
      </c>
      <c r="K689" s="5" t="s">
        <v>17</v>
      </c>
      <c r="L689">
        <f t="shared" si="51"/>
        <v>1</v>
      </c>
      <c r="M689">
        <f t="shared" ca="1" si="54"/>
        <v>8</v>
      </c>
      <c r="N689" s="15">
        <f t="shared" si="52"/>
        <v>0</v>
      </c>
      <c r="O689" t="str">
        <f t="shared" ca="1" si="53"/>
        <v>0-30 Days</v>
      </c>
    </row>
    <row r="690" spans="1:15" x14ac:dyDescent="0.3">
      <c r="A690" s="2" t="s">
        <v>1208</v>
      </c>
      <c r="B690" s="3" t="s">
        <v>212</v>
      </c>
      <c r="C690" s="2" t="s">
        <v>12</v>
      </c>
      <c r="D690" s="2" t="str">
        <f t="shared" si="50"/>
        <v>Jun</v>
      </c>
      <c r="E690" s="24" t="s">
        <v>310</v>
      </c>
      <c r="F690" s="20" t="s">
        <v>311</v>
      </c>
      <c r="G690" s="20" t="s">
        <v>253</v>
      </c>
      <c r="H690" s="20" t="s">
        <v>54</v>
      </c>
      <c r="I690" s="4">
        <v>12000</v>
      </c>
      <c r="J690" s="4">
        <v>12000</v>
      </c>
      <c r="K690" s="5" t="s">
        <v>17</v>
      </c>
      <c r="L690">
        <f t="shared" si="51"/>
        <v>1</v>
      </c>
      <c r="M690">
        <f t="shared" ca="1" si="54"/>
        <v>7</v>
      </c>
      <c r="N690" s="15">
        <f t="shared" si="52"/>
        <v>0</v>
      </c>
      <c r="O690" t="str">
        <f t="shared" ca="1" si="53"/>
        <v>0-30 Days</v>
      </c>
    </row>
    <row r="691" spans="1:15" x14ac:dyDescent="0.3">
      <c r="A691" s="6" t="s">
        <v>1209</v>
      </c>
      <c r="B691" s="7" t="s">
        <v>521</v>
      </c>
      <c r="C691" s="6" t="s">
        <v>33</v>
      </c>
      <c r="D691" s="2" t="str">
        <f t="shared" si="50"/>
        <v>Feb</v>
      </c>
      <c r="E691" s="25" t="s">
        <v>247</v>
      </c>
      <c r="F691" s="21" t="s">
        <v>265</v>
      </c>
      <c r="G691" s="21" t="s">
        <v>48</v>
      </c>
      <c r="H691" s="21"/>
      <c r="I691" s="8">
        <v>35000</v>
      </c>
      <c r="J691" s="8">
        <v>0</v>
      </c>
      <c r="K691" s="12" t="s">
        <v>71</v>
      </c>
      <c r="L691">
        <f t="shared" si="51"/>
        <v>2</v>
      </c>
      <c r="M691">
        <f t="shared" ca="1" si="54"/>
        <v>482</v>
      </c>
      <c r="N691" s="15">
        <f t="shared" si="52"/>
        <v>35000</v>
      </c>
      <c r="O691" t="str">
        <f t="shared" ca="1" si="53"/>
        <v>90+ Days</v>
      </c>
    </row>
    <row r="692" spans="1:15" x14ac:dyDescent="0.3">
      <c r="A692" s="2" t="s">
        <v>1210</v>
      </c>
      <c r="B692" s="3" t="s">
        <v>361</v>
      </c>
      <c r="C692" s="2" t="s">
        <v>12</v>
      </c>
      <c r="D692" s="2" t="str">
        <f t="shared" si="50"/>
        <v>Dec</v>
      </c>
      <c r="E692" s="24" t="s">
        <v>301</v>
      </c>
      <c r="F692" s="20" t="s">
        <v>270</v>
      </c>
      <c r="G692" s="20" t="s">
        <v>138</v>
      </c>
      <c r="H692" s="20" t="s">
        <v>275</v>
      </c>
      <c r="I692" s="4">
        <v>18000</v>
      </c>
      <c r="J692" s="4">
        <v>18000</v>
      </c>
      <c r="K692" s="5" t="s">
        <v>17</v>
      </c>
      <c r="L692">
        <f t="shared" si="51"/>
        <v>1</v>
      </c>
      <c r="M692">
        <f t="shared" ca="1" si="54"/>
        <v>8</v>
      </c>
      <c r="N692" s="15">
        <f t="shared" si="52"/>
        <v>0</v>
      </c>
      <c r="O692" t="str">
        <f t="shared" ca="1" si="53"/>
        <v>0-30 Days</v>
      </c>
    </row>
    <row r="693" spans="1:15" x14ac:dyDescent="0.3">
      <c r="A693" s="6" t="s">
        <v>1211</v>
      </c>
      <c r="B693" s="7" t="s">
        <v>339</v>
      </c>
      <c r="C693" s="6" t="s">
        <v>12</v>
      </c>
      <c r="D693" s="2" t="str">
        <f t="shared" si="50"/>
        <v>Apr</v>
      </c>
      <c r="E693" s="25" t="s">
        <v>977</v>
      </c>
      <c r="F693" s="21" t="s">
        <v>538</v>
      </c>
      <c r="G693" s="21" t="s">
        <v>151</v>
      </c>
      <c r="H693" s="21" t="s">
        <v>474</v>
      </c>
      <c r="I693" s="8">
        <v>18000</v>
      </c>
      <c r="J693" s="8">
        <v>18000</v>
      </c>
      <c r="K693" s="9" t="s">
        <v>45</v>
      </c>
      <c r="L693">
        <f t="shared" si="51"/>
        <v>1</v>
      </c>
      <c r="M693">
        <f t="shared" ca="1" si="54"/>
        <v>54</v>
      </c>
      <c r="N693" s="15">
        <f t="shared" si="52"/>
        <v>0</v>
      </c>
      <c r="O693" t="str">
        <f t="shared" ca="1" si="53"/>
        <v>31-60 Days</v>
      </c>
    </row>
    <row r="694" spans="1:15" x14ac:dyDescent="0.3">
      <c r="A694" s="2" t="s">
        <v>1212</v>
      </c>
      <c r="B694" s="3" t="s">
        <v>59</v>
      </c>
      <c r="C694" s="2" t="s">
        <v>12</v>
      </c>
      <c r="D694" s="2" t="str">
        <f t="shared" si="50"/>
        <v>Oct</v>
      </c>
      <c r="E694" s="24" t="s">
        <v>400</v>
      </c>
      <c r="F694" s="20" t="s">
        <v>647</v>
      </c>
      <c r="G694" s="20" t="s">
        <v>447</v>
      </c>
      <c r="H694" s="20" t="s">
        <v>707</v>
      </c>
      <c r="I694" s="4">
        <v>60000</v>
      </c>
      <c r="J694" s="4">
        <v>60000</v>
      </c>
      <c r="K694" s="5" t="s">
        <v>17</v>
      </c>
      <c r="L694">
        <f t="shared" si="51"/>
        <v>2</v>
      </c>
      <c r="M694">
        <f t="shared" ca="1" si="54"/>
        <v>8</v>
      </c>
      <c r="N694" s="15">
        <f t="shared" si="52"/>
        <v>0</v>
      </c>
      <c r="O694" t="str">
        <f t="shared" ca="1" si="53"/>
        <v>0-30 Days</v>
      </c>
    </row>
    <row r="695" spans="1:15" x14ac:dyDescent="0.3">
      <c r="A695" s="6" t="s">
        <v>1213</v>
      </c>
      <c r="B695" s="7" t="s">
        <v>313</v>
      </c>
      <c r="C695" s="6" t="s">
        <v>33</v>
      </c>
      <c r="D695" s="2" t="str">
        <f t="shared" si="50"/>
        <v>Jul</v>
      </c>
      <c r="E695" s="25" t="s">
        <v>444</v>
      </c>
      <c r="F695" s="21" t="s">
        <v>355</v>
      </c>
      <c r="G695" s="21" t="s">
        <v>256</v>
      </c>
      <c r="H695" s="21"/>
      <c r="I695" s="8">
        <v>55000</v>
      </c>
      <c r="J695" s="8">
        <v>0</v>
      </c>
      <c r="K695" s="10" t="s">
        <v>57</v>
      </c>
      <c r="L695">
        <f t="shared" si="51"/>
        <v>3</v>
      </c>
      <c r="M695">
        <f t="shared" ca="1" si="54"/>
        <v>327</v>
      </c>
      <c r="N695" s="15">
        <f t="shared" si="52"/>
        <v>55000</v>
      </c>
      <c r="O695" t="str">
        <f t="shared" ca="1" si="53"/>
        <v>90+ Days</v>
      </c>
    </row>
    <row r="696" spans="1:15" x14ac:dyDescent="0.3">
      <c r="A696" s="2" t="s">
        <v>1214</v>
      </c>
      <c r="B696" s="3" t="s">
        <v>135</v>
      </c>
      <c r="C696" s="2" t="s">
        <v>33</v>
      </c>
      <c r="D696" s="2" t="str">
        <f t="shared" si="50"/>
        <v>Jan</v>
      </c>
      <c r="E696" s="24" t="s">
        <v>1215</v>
      </c>
      <c r="F696" s="20" t="s">
        <v>105</v>
      </c>
      <c r="G696" s="20" t="s">
        <v>106</v>
      </c>
      <c r="H696" s="20" t="s">
        <v>66</v>
      </c>
      <c r="I696" s="4">
        <v>5000</v>
      </c>
      <c r="J696" s="4">
        <v>5000</v>
      </c>
      <c r="K696" s="5" t="s">
        <v>17</v>
      </c>
      <c r="L696">
        <f t="shared" si="51"/>
        <v>2</v>
      </c>
      <c r="M696">
        <f t="shared" ca="1" si="54"/>
        <v>14</v>
      </c>
      <c r="N696" s="15">
        <f t="shared" si="52"/>
        <v>0</v>
      </c>
      <c r="O696" t="str">
        <f t="shared" ca="1" si="53"/>
        <v>0-30 Days</v>
      </c>
    </row>
    <row r="697" spans="1:15" x14ac:dyDescent="0.3">
      <c r="A697" s="6" t="s">
        <v>1216</v>
      </c>
      <c r="B697" s="7" t="s">
        <v>277</v>
      </c>
      <c r="C697" s="6" t="s">
        <v>12</v>
      </c>
      <c r="D697" s="2" t="str">
        <f t="shared" si="50"/>
        <v>Nov</v>
      </c>
      <c r="E697" s="25" t="s">
        <v>122</v>
      </c>
      <c r="F697" s="21" t="s">
        <v>547</v>
      </c>
      <c r="G697" s="21" t="s">
        <v>189</v>
      </c>
      <c r="H697" s="21" t="s">
        <v>271</v>
      </c>
      <c r="I697" s="8">
        <v>35000</v>
      </c>
      <c r="J697" s="8">
        <v>35000</v>
      </c>
      <c r="K697" s="5" t="s">
        <v>17</v>
      </c>
      <c r="L697">
        <f t="shared" si="51"/>
        <v>3</v>
      </c>
      <c r="M697">
        <f t="shared" ca="1" si="54"/>
        <v>5</v>
      </c>
      <c r="N697" s="15">
        <f t="shared" si="52"/>
        <v>0</v>
      </c>
      <c r="O697" t="str">
        <f t="shared" ca="1" si="53"/>
        <v>0-30 Days</v>
      </c>
    </row>
    <row r="698" spans="1:15" x14ac:dyDescent="0.3">
      <c r="A698" s="2" t="s">
        <v>1217</v>
      </c>
      <c r="B698" s="3" t="s">
        <v>280</v>
      </c>
      <c r="C698" s="2" t="s">
        <v>33</v>
      </c>
      <c r="D698" s="2" t="str">
        <f t="shared" si="50"/>
        <v>Mar</v>
      </c>
      <c r="E698" s="24" t="s">
        <v>1218</v>
      </c>
      <c r="F698" s="20" t="s">
        <v>219</v>
      </c>
      <c r="G698" s="20" t="s">
        <v>577</v>
      </c>
      <c r="H698" s="20"/>
      <c r="I698" s="4">
        <v>60000</v>
      </c>
      <c r="J698" s="4">
        <v>0</v>
      </c>
      <c r="K698" s="11" t="s">
        <v>63</v>
      </c>
      <c r="L698">
        <f t="shared" si="51"/>
        <v>3</v>
      </c>
      <c r="M698">
        <f t="shared" ca="1" si="54"/>
        <v>441</v>
      </c>
      <c r="N698" s="15">
        <f t="shared" si="52"/>
        <v>60000</v>
      </c>
      <c r="O698" t="str">
        <f t="shared" ca="1" si="53"/>
        <v>90+ Days</v>
      </c>
    </row>
    <row r="699" spans="1:15" x14ac:dyDescent="0.3">
      <c r="A699" s="6" t="s">
        <v>1219</v>
      </c>
      <c r="B699" s="7" t="s">
        <v>461</v>
      </c>
      <c r="C699" s="6" t="s">
        <v>12</v>
      </c>
      <c r="D699" s="2" t="str">
        <f t="shared" si="50"/>
        <v>Mar</v>
      </c>
      <c r="E699" s="25" t="s">
        <v>106</v>
      </c>
      <c r="F699" s="21" t="s">
        <v>470</v>
      </c>
      <c r="G699" s="21" t="s">
        <v>161</v>
      </c>
      <c r="H699" s="21" t="s">
        <v>1218</v>
      </c>
      <c r="I699" s="8">
        <v>12000</v>
      </c>
      <c r="J699" s="8">
        <v>12000</v>
      </c>
      <c r="K699" s="5" t="s">
        <v>17</v>
      </c>
      <c r="L699">
        <f t="shared" si="51"/>
        <v>2</v>
      </c>
      <c r="M699">
        <f t="shared" ca="1" si="54"/>
        <v>26</v>
      </c>
      <c r="N699" s="15">
        <f t="shared" si="52"/>
        <v>0</v>
      </c>
      <c r="O699" t="str">
        <f t="shared" ca="1" si="53"/>
        <v>0-30 Days</v>
      </c>
    </row>
    <row r="700" spans="1:15" x14ac:dyDescent="0.3">
      <c r="A700" s="2" t="s">
        <v>1220</v>
      </c>
      <c r="B700" s="3" t="s">
        <v>255</v>
      </c>
      <c r="C700" s="2" t="s">
        <v>26</v>
      </c>
      <c r="D700" s="2" t="str">
        <f t="shared" si="50"/>
        <v>Feb</v>
      </c>
      <c r="E700" s="24" t="s">
        <v>29</v>
      </c>
      <c r="F700" s="20" t="s">
        <v>265</v>
      </c>
      <c r="G700" s="20" t="s">
        <v>48</v>
      </c>
      <c r="H700" s="20" t="s">
        <v>809</v>
      </c>
      <c r="I700" s="4">
        <v>55000</v>
      </c>
      <c r="J700" s="4">
        <v>55000</v>
      </c>
      <c r="K700" s="5" t="s">
        <v>17</v>
      </c>
      <c r="L700">
        <f t="shared" si="51"/>
        <v>3</v>
      </c>
      <c r="M700">
        <f t="shared" ca="1" si="54"/>
        <v>16</v>
      </c>
      <c r="N700" s="15">
        <f t="shared" si="52"/>
        <v>0</v>
      </c>
      <c r="O700" t="str">
        <f t="shared" ca="1" si="53"/>
        <v>0-30 Days</v>
      </c>
    </row>
    <row r="701" spans="1:15" x14ac:dyDescent="0.3">
      <c r="A701" s="6" t="s">
        <v>1221</v>
      </c>
      <c r="B701" s="7" t="s">
        <v>65</v>
      </c>
      <c r="C701" s="6" t="s">
        <v>12</v>
      </c>
      <c r="D701" s="2" t="str">
        <f t="shared" si="50"/>
        <v>Jul</v>
      </c>
      <c r="E701" s="25" t="s">
        <v>85</v>
      </c>
      <c r="F701" s="21" t="s">
        <v>475</v>
      </c>
      <c r="G701" s="21" t="s">
        <v>480</v>
      </c>
      <c r="H701" s="21" t="s">
        <v>584</v>
      </c>
      <c r="I701" s="8">
        <v>22000</v>
      </c>
      <c r="J701" s="8">
        <v>22000</v>
      </c>
      <c r="K701" s="5" t="s">
        <v>17</v>
      </c>
      <c r="L701">
        <f t="shared" si="51"/>
        <v>1</v>
      </c>
      <c r="M701">
        <f t="shared" ca="1" si="54"/>
        <v>19</v>
      </c>
      <c r="N701" s="15">
        <f t="shared" si="52"/>
        <v>0</v>
      </c>
      <c r="O701" t="str">
        <f t="shared" ca="1" si="53"/>
        <v>0-30 Days</v>
      </c>
    </row>
    <row r="702" spans="1:15" x14ac:dyDescent="0.3">
      <c r="A702" s="2" t="s">
        <v>1222</v>
      </c>
      <c r="B702" s="3" t="s">
        <v>489</v>
      </c>
      <c r="C702" s="2" t="s">
        <v>40</v>
      </c>
      <c r="D702" s="2" t="str">
        <f t="shared" si="50"/>
        <v>May</v>
      </c>
      <c r="E702" s="24" t="s">
        <v>1144</v>
      </c>
      <c r="F702" s="20" t="s">
        <v>187</v>
      </c>
      <c r="G702" s="20" t="s">
        <v>397</v>
      </c>
      <c r="H702" s="20" t="s">
        <v>350</v>
      </c>
      <c r="I702" s="4">
        <v>50000</v>
      </c>
      <c r="J702" s="4">
        <v>50000</v>
      </c>
      <c r="K702" s="9" t="s">
        <v>45</v>
      </c>
      <c r="L702">
        <f t="shared" si="51"/>
        <v>1</v>
      </c>
      <c r="M702">
        <f t="shared" ca="1" si="54"/>
        <v>35</v>
      </c>
      <c r="N702" s="15">
        <f t="shared" si="52"/>
        <v>0</v>
      </c>
      <c r="O702" t="str">
        <f t="shared" ca="1" si="53"/>
        <v>31-60 Days</v>
      </c>
    </row>
    <row r="703" spans="1:15" x14ac:dyDescent="0.3">
      <c r="A703" s="6" t="s">
        <v>1223</v>
      </c>
      <c r="B703" s="7" t="s">
        <v>150</v>
      </c>
      <c r="C703" s="6" t="s">
        <v>33</v>
      </c>
      <c r="D703" s="2" t="str">
        <f t="shared" si="50"/>
        <v>Dec</v>
      </c>
      <c r="E703" s="25" t="s">
        <v>562</v>
      </c>
      <c r="F703" s="21" t="s">
        <v>580</v>
      </c>
      <c r="G703" s="21" t="s">
        <v>581</v>
      </c>
      <c r="H703" s="21" t="s">
        <v>283</v>
      </c>
      <c r="I703" s="8">
        <v>15000</v>
      </c>
      <c r="J703" s="8">
        <v>15000</v>
      </c>
      <c r="K703" s="5" t="s">
        <v>17</v>
      </c>
      <c r="L703">
        <f t="shared" si="51"/>
        <v>3</v>
      </c>
      <c r="M703">
        <f t="shared" ca="1" si="54"/>
        <v>16</v>
      </c>
      <c r="N703" s="15">
        <f t="shared" si="52"/>
        <v>0</v>
      </c>
      <c r="O703" t="str">
        <f t="shared" ca="1" si="53"/>
        <v>0-30 Days</v>
      </c>
    </row>
    <row r="704" spans="1:15" x14ac:dyDescent="0.3">
      <c r="A704" s="2" t="s">
        <v>1224</v>
      </c>
      <c r="B704" s="3" t="s">
        <v>170</v>
      </c>
      <c r="C704" s="2" t="s">
        <v>12</v>
      </c>
      <c r="D704" s="2" t="str">
        <f t="shared" si="50"/>
        <v>Jul</v>
      </c>
      <c r="E704" s="24" t="s">
        <v>337</v>
      </c>
      <c r="F704" s="20" t="s">
        <v>333</v>
      </c>
      <c r="G704" s="20" t="s">
        <v>88</v>
      </c>
      <c r="H704" s="20" t="s">
        <v>171</v>
      </c>
      <c r="I704" s="4">
        <v>40000</v>
      </c>
      <c r="J704" s="4">
        <v>40000</v>
      </c>
      <c r="K704" s="9" t="s">
        <v>45</v>
      </c>
      <c r="L704">
        <f t="shared" si="51"/>
        <v>3</v>
      </c>
      <c r="M704">
        <f t="shared" ca="1" si="54"/>
        <v>57</v>
      </c>
      <c r="N704" s="15">
        <f t="shared" si="52"/>
        <v>0</v>
      </c>
      <c r="O704" t="str">
        <f t="shared" ca="1" si="53"/>
        <v>31-60 Days</v>
      </c>
    </row>
    <row r="705" spans="1:15" x14ac:dyDescent="0.3">
      <c r="A705" s="6" t="s">
        <v>1225</v>
      </c>
      <c r="B705" s="7" t="s">
        <v>439</v>
      </c>
      <c r="C705" s="6" t="s">
        <v>12</v>
      </c>
      <c r="D705" s="2" t="str">
        <f t="shared" si="50"/>
        <v>Sep</v>
      </c>
      <c r="E705" s="25" t="s">
        <v>290</v>
      </c>
      <c r="F705" s="21" t="s">
        <v>737</v>
      </c>
      <c r="G705" s="21" t="s">
        <v>274</v>
      </c>
      <c r="H705" s="21" t="s">
        <v>142</v>
      </c>
      <c r="I705" s="8">
        <v>55000</v>
      </c>
      <c r="J705" s="8">
        <v>55000</v>
      </c>
      <c r="K705" s="9" t="s">
        <v>45</v>
      </c>
      <c r="L705">
        <f t="shared" si="51"/>
        <v>2</v>
      </c>
      <c r="M705">
        <f t="shared" ca="1" si="54"/>
        <v>60</v>
      </c>
      <c r="N705" s="15">
        <f t="shared" si="52"/>
        <v>0</v>
      </c>
      <c r="O705" t="str">
        <f t="shared" ca="1" si="53"/>
        <v>31-60 Days</v>
      </c>
    </row>
    <row r="706" spans="1:15" x14ac:dyDescent="0.3">
      <c r="A706" s="2" t="s">
        <v>1226</v>
      </c>
      <c r="B706" s="3" t="s">
        <v>461</v>
      </c>
      <c r="C706" s="2" t="s">
        <v>12</v>
      </c>
      <c r="D706" s="2" t="str">
        <f t="shared" si="50"/>
        <v>Oct</v>
      </c>
      <c r="E706" s="24" t="s">
        <v>392</v>
      </c>
      <c r="F706" s="20" t="s">
        <v>214</v>
      </c>
      <c r="G706" s="20" t="s">
        <v>603</v>
      </c>
      <c r="H706" s="20" t="s">
        <v>674</v>
      </c>
      <c r="I706" s="4">
        <v>35000</v>
      </c>
      <c r="J706" s="4">
        <v>35000</v>
      </c>
      <c r="K706" s="5" t="s">
        <v>17</v>
      </c>
      <c r="L706">
        <f t="shared" si="51"/>
        <v>1</v>
      </c>
      <c r="M706">
        <f t="shared" ca="1" si="54"/>
        <v>17</v>
      </c>
      <c r="N706" s="15">
        <f t="shared" si="52"/>
        <v>0</v>
      </c>
      <c r="O706" t="str">
        <f t="shared" ca="1" si="53"/>
        <v>0-30 Days</v>
      </c>
    </row>
    <row r="707" spans="1:15" x14ac:dyDescent="0.3">
      <c r="A707" s="6" t="s">
        <v>1227</v>
      </c>
      <c r="B707" s="7" t="s">
        <v>309</v>
      </c>
      <c r="C707" s="6" t="s">
        <v>12</v>
      </c>
      <c r="D707" s="2" t="str">
        <f t="shared" ref="D707:D770" si="55">MID(E707, 4, 3)</f>
        <v>Jan</v>
      </c>
      <c r="E707" s="25" t="s">
        <v>952</v>
      </c>
      <c r="F707" s="21" t="s">
        <v>329</v>
      </c>
      <c r="G707" s="21" t="s">
        <v>314</v>
      </c>
      <c r="H707" s="21"/>
      <c r="I707" s="8">
        <v>45000</v>
      </c>
      <c r="J707" s="8">
        <v>0</v>
      </c>
      <c r="K707" s="10" t="s">
        <v>57</v>
      </c>
      <c r="L707">
        <f t="shared" ref="L707:L770" si="56">F707-E707</f>
        <v>3</v>
      </c>
      <c r="M707">
        <f t="shared" ca="1" si="54"/>
        <v>511</v>
      </c>
      <c r="N707" s="15">
        <f t="shared" ref="N707:N770" si="57">I707-J707</f>
        <v>45000</v>
      </c>
      <c r="O707" t="str">
        <f t="shared" ref="O707:O770" ca="1" si="58">IF(M707&lt;=30,"0-30 Days",
IF(M707&lt;=60,"31-60 Days",
IF(M707&lt;=90,"61-90 Days","90+ Days")))</f>
        <v>90+ Days</v>
      </c>
    </row>
    <row r="708" spans="1:15" x14ac:dyDescent="0.3">
      <c r="A708" s="2" t="s">
        <v>1228</v>
      </c>
      <c r="B708" s="3" t="s">
        <v>380</v>
      </c>
      <c r="C708" s="2" t="s">
        <v>12</v>
      </c>
      <c r="D708" s="2" t="str">
        <f t="shared" si="55"/>
        <v>Nov</v>
      </c>
      <c r="E708" s="24" t="s">
        <v>260</v>
      </c>
      <c r="F708" s="20" t="s">
        <v>36</v>
      </c>
      <c r="G708" s="20" t="s">
        <v>145</v>
      </c>
      <c r="H708" s="20"/>
      <c r="I708" s="4">
        <v>15000</v>
      </c>
      <c r="J708" s="4">
        <v>0</v>
      </c>
      <c r="K708" s="11" t="s">
        <v>63</v>
      </c>
      <c r="L708">
        <f t="shared" si="56"/>
        <v>1</v>
      </c>
      <c r="M708">
        <f t="shared" ref="M708:M771" ca="1" si="59">IF(H708="",TODAY()-F708,H708-F708)</f>
        <v>213</v>
      </c>
      <c r="N708" s="15">
        <f t="shared" si="57"/>
        <v>15000</v>
      </c>
      <c r="O708" t="str">
        <f t="shared" ca="1" si="58"/>
        <v>90+ Days</v>
      </c>
    </row>
    <row r="709" spans="1:15" x14ac:dyDescent="0.3">
      <c r="A709" s="6" t="s">
        <v>1229</v>
      </c>
      <c r="B709" s="7" t="s">
        <v>420</v>
      </c>
      <c r="C709" s="6" t="s">
        <v>12</v>
      </c>
      <c r="D709" s="2" t="str">
        <f t="shared" si="55"/>
        <v>Mar</v>
      </c>
      <c r="E709" s="25" t="s">
        <v>15</v>
      </c>
      <c r="F709" s="21" t="s">
        <v>381</v>
      </c>
      <c r="G709" s="21" t="s">
        <v>1017</v>
      </c>
      <c r="H709" s="21"/>
      <c r="I709" s="8">
        <v>30000</v>
      </c>
      <c r="J709" s="8">
        <v>0</v>
      </c>
      <c r="K709" s="10" t="s">
        <v>57</v>
      </c>
      <c r="L709">
        <f t="shared" si="56"/>
        <v>1</v>
      </c>
      <c r="M709">
        <f t="shared" ca="1" si="59"/>
        <v>442</v>
      </c>
      <c r="N709" s="15">
        <f t="shared" si="57"/>
        <v>30000</v>
      </c>
      <c r="O709" t="str">
        <f t="shared" ca="1" si="58"/>
        <v>90+ Days</v>
      </c>
    </row>
    <row r="710" spans="1:15" x14ac:dyDescent="0.3">
      <c r="A710" s="2" t="s">
        <v>1230</v>
      </c>
      <c r="B710" s="3" t="s">
        <v>285</v>
      </c>
      <c r="C710" s="2" t="s">
        <v>12</v>
      </c>
      <c r="D710" s="2" t="str">
        <f t="shared" si="55"/>
        <v>Jan</v>
      </c>
      <c r="E710" s="24" t="s">
        <v>753</v>
      </c>
      <c r="F710" s="20" t="s">
        <v>754</v>
      </c>
      <c r="G710" s="20" t="s">
        <v>80</v>
      </c>
      <c r="H710" s="20"/>
      <c r="I710" s="4">
        <v>10000</v>
      </c>
      <c r="J710" s="4">
        <v>0</v>
      </c>
      <c r="K710" s="11" t="s">
        <v>63</v>
      </c>
      <c r="L710">
        <f t="shared" si="56"/>
        <v>2</v>
      </c>
      <c r="M710">
        <f t="shared" ca="1" si="59"/>
        <v>508</v>
      </c>
      <c r="N710" s="15">
        <f t="shared" si="57"/>
        <v>10000</v>
      </c>
      <c r="O710" t="str">
        <f t="shared" ca="1" si="58"/>
        <v>90+ Days</v>
      </c>
    </row>
    <row r="711" spans="1:15" x14ac:dyDescent="0.3">
      <c r="A711" s="6" t="s">
        <v>1231</v>
      </c>
      <c r="B711" s="7" t="s">
        <v>361</v>
      </c>
      <c r="C711" s="6" t="s">
        <v>12</v>
      </c>
      <c r="D711" s="2" t="str">
        <f t="shared" si="55"/>
        <v>Apr</v>
      </c>
      <c r="E711" s="25" t="s">
        <v>467</v>
      </c>
      <c r="F711" s="21" t="s">
        <v>538</v>
      </c>
      <c r="G711" s="21" t="s">
        <v>151</v>
      </c>
      <c r="H711" s="21"/>
      <c r="I711" s="8">
        <v>20000</v>
      </c>
      <c r="J711" s="8">
        <v>0</v>
      </c>
      <c r="K711" s="10" t="s">
        <v>57</v>
      </c>
      <c r="L711">
        <f t="shared" si="56"/>
        <v>3</v>
      </c>
      <c r="M711">
        <f t="shared" ca="1" si="59"/>
        <v>425</v>
      </c>
      <c r="N711" s="15">
        <f t="shared" si="57"/>
        <v>20000</v>
      </c>
      <c r="O711" t="str">
        <f t="shared" ca="1" si="58"/>
        <v>90+ Days</v>
      </c>
    </row>
    <row r="712" spans="1:15" x14ac:dyDescent="0.3">
      <c r="A712" s="2" t="s">
        <v>1232</v>
      </c>
      <c r="B712" s="3" t="s">
        <v>255</v>
      </c>
      <c r="C712" s="2" t="s">
        <v>26</v>
      </c>
      <c r="D712" s="2" t="str">
        <f t="shared" si="55"/>
        <v>Jun</v>
      </c>
      <c r="E712" s="24" t="s">
        <v>112</v>
      </c>
      <c r="F712" s="20" t="s">
        <v>294</v>
      </c>
      <c r="G712" s="20" t="s">
        <v>345</v>
      </c>
      <c r="H712" s="20" t="s">
        <v>69</v>
      </c>
      <c r="I712" s="4">
        <v>10000</v>
      </c>
      <c r="J712" s="4">
        <v>10000</v>
      </c>
      <c r="K712" s="5" t="s">
        <v>17</v>
      </c>
      <c r="L712">
        <f t="shared" si="56"/>
        <v>3</v>
      </c>
      <c r="M712">
        <f t="shared" ca="1" si="59"/>
        <v>22</v>
      </c>
      <c r="N712" s="15">
        <f t="shared" si="57"/>
        <v>0</v>
      </c>
      <c r="O712" t="str">
        <f t="shared" ca="1" si="58"/>
        <v>0-30 Days</v>
      </c>
    </row>
    <row r="713" spans="1:15" x14ac:dyDescent="0.3">
      <c r="A713" s="6" t="s">
        <v>1233</v>
      </c>
      <c r="B713" s="7" t="s">
        <v>876</v>
      </c>
      <c r="C713" s="6" t="s">
        <v>12</v>
      </c>
      <c r="D713" s="2" t="str">
        <f t="shared" si="55"/>
        <v>Oct</v>
      </c>
      <c r="E713" s="25" t="s">
        <v>244</v>
      </c>
      <c r="F713" s="21" t="s">
        <v>259</v>
      </c>
      <c r="G713" s="21" t="s">
        <v>278</v>
      </c>
      <c r="H713" s="21" t="s">
        <v>623</v>
      </c>
      <c r="I713" s="8">
        <v>50000</v>
      </c>
      <c r="J713" s="8">
        <v>50000</v>
      </c>
      <c r="K713" s="5" t="s">
        <v>17</v>
      </c>
      <c r="L713">
        <f t="shared" si="56"/>
        <v>2</v>
      </c>
      <c r="M713">
        <f t="shared" ca="1" si="59"/>
        <v>5</v>
      </c>
      <c r="N713" s="15">
        <f t="shared" si="57"/>
        <v>0</v>
      </c>
      <c r="O713" t="str">
        <f t="shared" ca="1" si="58"/>
        <v>0-30 Days</v>
      </c>
    </row>
    <row r="714" spans="1:15" x14ac:dyDescent="0.3">
      <c r="A714" s="2" t="s">
        <v>1234</v>
      </c>
      <c r="B714" s="3" t="s">
        <v>258</v>
      </c>
      <c r="C714" s="2" t="s">
        <v>33</v>
      </c>
      <c r="D714" s="2" t="str">
        <f t="shared" si="55"/>
        <v>Dec</v>
      </c>
      <c r="E714" s="24" t="s">
        <v>663</v>
      </c>
      <c r="F714" s="20" t="s">
        <v>544</v>
      </c>
      <c r="G714" s="20" t="s">
        <v>840</v>
      </c>
      <c r="H714" s="20"/>
      <c r="I714" s="4">
        <v>45000</v>
      </c>
      <c r="J714" s="4">
        <v>0</v>
      </c>
      <c r="K714" s="12" t="s">
        <v>71</v>
      </c>
      <c r="L714">
        <f t="shared" si="56"/>
        <v>3</v>
      </c>
      <c r="M714">
        <f t="shared" ca="1" si="59"/>
        <v>170</v>
      </c>
      <c r="N714" s="15">
        <f t="shared" si="57"/>
        <v>45000</v>
      </c>
      <c r="O714" t="str">
        <f t="shared" ca="1" si="58"/>
        <v>90+ Days</v>
      </c>
    </row>
    <row r="715" spans="1:15" x14ac:dyDescent="0.3">
      <c r="A715" s="6" t="s">
        <v>1235</v>
      </c>
      <c r="B715" s="7" t="s">
        <v>587</v>
      </c>
      <c r="C715" s="6" t="s">
        <v>26</v>
      </c>
      <c r="D715" s="2" t="str">
        <f t="shared" si="55"/>
        <v>Aug</v>
      </c>
      <c r="E715" s="25" t="s">
        <v>227</v>
      </c>
      <c r="F715" s="21" t="s">
        <v>340</v>
      </c>
      <c r="G715" s="21" t="s">
        <v>341</v>
      </c>
      <c r="H715" s="21" t="s">
        <v>535</v>
      </c>
      <c r="I715" s="8">
        <v>20000</v>
      </c>
      <c r="J715" s="8">
        <v>20000</v>
      </c>
      <c r="K715" s="9" t="s">
        <v>45</v>
      </c>
      <c r="L715">
        <f t="shared" si="56"/>
        <v>1</v>
      </c>
      <c r="M715">
        <f t="shared" ca="1" si="59"/>
        <v>49</v>
      </c>
      <c r="N715" s="15">
        <f t="shared" si="57"/>
        <v>0</v>
      </c>
      <c r="O715" t="str">
        <f t="shared" ca="1" si="58"/>
        <v>31-60 Days</v>
      </c>
    </row>
    <row r="716" spans="1:15" x14ac:dyDescent="0.3">
      <c r="A716" s="2" t="s">
        <v>1236</v>
      </c>
      <c r="B716" s="3" t="s">
        <v>160</v>
      </c>
      <c r="C716" s="2" t="s">
        <v>40</v>
      </c>
      <c r="D716" s="2" t="str">
        <f t="shared" si="55"/>
        <v>Feb</v>
      </c>
      <c r="E716" s="24" t="s">
        <v>79</v>
      </c>
      <c r="F716" s="20" t="s">
        <v>20</v>
      </c>
      <c r="G716" s="20" t="s">
        <v>298</v>
      </c>
      <c r="H716" s="20"/>
      <c r="I716" s="4">
        <v>15000</v>
      </c>
      <c r="J716" s="4">
        <v>0</v>
      </c>
      <c r="K716" s="12" t="s">
        <v>71</v>
      </c>
      <c r="L716">
        <f t="shared" si="56"/>
        <v>1</v>
      </c>
      <c r="M716">
        <f t="shared" ca="1" si="59"/>
        <v>479</v>
      </c>
      <c r="N716" s="15">
        <f t="shared" si="57"/>
        <v>15000</v>
      </c>
      <c r="O716" t="str">
        <f t="shared" ca="1" si="58"/>
        <v>90+ Days</v>
      </c>
    </row>
    <row r="717" spans="1:15" x14ac:dyDescent="0.3">
      <c r="A717" s="6" t="s">
        <v>1237</v>
      </c>
      <c r="B717" s="7" t="s">
        <v>454</v>
      </c>
      <c r="C717" s="6" t="s">
        <v>12</v>
      </c>
      <c r="D717" s="2" t="str">
        <f t="shared" si="55"/>
        <v>Jun</v>
      </c>
      <c r="E717" s="25" t="s">
        <v>311</v>
      </c>
      <c r="F717" s="21" t="s">
        <v>741</v>
      </c>
      <c r="G717" s="21" t="s">
        <v>554</v>
      </c>
      <c r="H717" s="21" t="s">
        <v>625</v>
      </c>
      <c r="I717" s="8">
        <v>50000</v>
      </c>
      <c r="J717" s="8">
        <v>50000</v>
      </c>
      <c r="K717" s="5" t="s">
        <v>17</v>
      </c>
      <c r="L717">
        <f t="shared" si="56"/>
        <v>2</v>
      </c>
      <c r="M717">
        <f t="shared" ca="1" si="59"/>
        <v>20</v>
      </c>
      <c r="N717" s="15">
        <f t="shared" si="57"/>
        <v>0</v>
      </c>
      <c r="O717" t="str">
        <f t="shared" ca="1" si="58"/>
        <v>0-30 Days</v>
      </c>
    </row>
    <row r="718" spans="1:15" x14ac:dyDescent="0.3">
      <c r="A718" s="2" t="s">
        <v>1238</v>
      </c>
      <c r="B718" s="3" t="s">
        <v>402</v>
      </c>
      <c r="C718" s="2" t="s">
        <v>12</v>
      </c>
      <c r="D718" s="2" t="str">
        <f t="shared" si="55"/>
        <v>Nov</v>
      </c>
      <c r="E718" s="24" t="s">
        <v>674</v>
      </c>
      <c r="F718" s="20" t="s">
        <v>326</v>
      </c>
      <c r="G718" s="20" t="s">
        <v>275</v>
      </c>
      <c r="H718" s="20" t="s">
        <v>127</v>
      </c>
      <c r="I718" s="4">
        <v>8000</v>
      </c>
      <c r="J718" s="4">
        <v>8000</v>
      </c>
      <c r="K718" s="5" t="s">
        <v>17</v>
      </c>
      <c r="L718">
        <f t="shared" si="56"/>
        <v>2</v>
      </c>
      <c r="M718">
        <f t="shared" ca="1" si="59"/>
        <v>17</v>
      </c>
      <c r="N718" s="15">
        <f t="shared" si="57"/>
        <v>0</v>
      </c>
      <c r="O718" t="str">
        <f t="shared" ca="1" si="58"/>
        <v>0-30 Days</v>
      </c>
    </row>
    <row r="719" spans="1:15" x14ac:dyDescent="0.3">
      <c r="A719" s="6" t="s">
        <v>1239</v>
      </c>
      <c r="B719" s="7" t="s">
        <v>407</v>
      </c>
      <c r="C719" s="6" t="s">
        <v>33</v>
      </c>
      <c r="D719" s="2" t="str">
        <f t="shared" si="55"/>
        <v>Nov</v>
      </c>
      <c r="E719" s="25" t="s">
        <v>418</v>
      </c>
      <c r="F719" s="21" t="s">
        <v>373</v>
      </c>
      <c r="G719" s="21" t="s">
        <v>409</v>
      </c>
      <c r="H719" s="21" t="s">
        <v>301</v>
      </c>
      <c r="I719" s="8">
        <v>12000</v>
      </c>
      <c r="J719" s="8">
        <v>12000</v>
      </c>
      <c r="K719" s="5" t="s">
        <v>17</v>
      </c>
      <c r="L719">
        <f t="shared" si="56"/>
        <v>3</v>
      </c>
      <c r="M719">
        <f t="shared" ca="1" si="59"/>
        <v>15</v>
      </c>
      <c r="N719" s="15">
        <f t="shared" si="57"/>
        <v>0</v>
      </c>
      <c r="O719" t="str">
        <f t="shared" ca="1" si="58"/>
        <v>0-30 Days</v>
      </c>
    </row>
    <row r="720" spans="1:15" x14ac:dyDescent="0.3">
      <c r="A720" s="2" t="s">
        <v>1240</v>
      </c>
      <c r="B720" s="3" t="s">
        <v>434</v>
      </c>
      <c r="C720" s="2" t="s">
        <v>12</v>
      </c>
      <c r="D720" s="2" t="str">
        <f t="shared" si="55"/>
        <v>May</v>
      </c>
      <c r="E720" s="24" t="s">
        <v>564</v>
      </c>
      <c r="F720" s="20" t="s">
        <v>383</v>
      </c>
      <c r="G720" s="20" t="s">
        <v>517</v>
      </c>
      <c r="H720" s="20" t="s">
        <v>506</v>
      </c>
      <c r="I720" s="4">
        <v>35000</v>
      </c>
      <c r="J720" s="4">
        <v>8750</v>
      </c>
      <c r="K720" s="13" t="s">
        <v>113</v>
      </c>
      <c r="L720">
        <f t="shared" si="56"/>
        <v>1</v>
      </c>
      <c r="M720">
        <f t="shared" ca="1" si="59"/>
        <v>28</v>
      </c>
      <c r="N720" s="15">
        <f t="shared" si="57"/>
        <v>26250</v>
      </c>
      <c r="O720" t="str">
        <f t="shared" ca="1" si="58"/>
        <v>0-30 Days</v>
      </c>
    </row>
    <row r="721" spans="1:15" x14ac:dyDescent="0.3">
      <c r="A721" s="6" t="s">
        <v>1241</v>
      </c>
      <c r="B721" s="7" t="s">
        <v>500</v>
      </c>
      <c r="C721" s="6" t="s">
        <v>12</v>
      </c>
      <c r="D721" s="2" t="str">
        <f t="shared" si="55"/>
        <v>Jun</v>
      </c>
      <c r="E721" s="25" t="s">
        <v>560</v>
      </c>
      <c r="F721" s="21" t="s">
        <v>154</v>
      </c>
      <c r="G721" s="21" t="s">
        <v>348</v>
      </c>
      <c r="H721" s="21"/>
      <c r="I721" s="8">
        <v>50000</v>
      </c>
      <c r="J721" s="8">
        <v>0</v>
      </c>
      <c r="K721" s="10" t="s">
        <v>57</v>
      </c>
      <c r="L721">
        <f t="shared" si="56"/>
        <v>2</v>
      </c>
      <c r="M721">
        <f t="shared" ca="1" si="59"/>
        <v>374</v>
      </c>
      <c r="N721" s="15">
        <f t="shared" si="57"/>
        <v>50000</v>
      </c>
      <c r="O721" t="str">
        <f t="shared" ca="1" si="58"/>
        <v>90+ Days</v>
      </c>
    </row>
    <row r="722" spans="1:15" x14ac:dyDescent="0.3">
      <c r="A722" s="2" t="s">
        <v>1242</v>
      </c>
      <c r="B722" s="3" t="s">
        <v>553</v>
      </c>
      <c r="C722" s="2" t="s">
        <v>12</v>
      </c>
      <c r="D722" s="2" t="str">
        <f t="shared" si="55"/>
        <v>Dec</v>
      </c>
      <c r="E722" s="24" t="s">
        <v>573</v>
      </c>
      <c r="F722" s="20" t="s">
        <v>146</v>
      </c>
      <c r="G722" s="20" t="s">
        <v>147</v>
      </c>
      <c r="H722" s="20" t="s">
        <v>761</v>
      </c>
      <c r="I722" s="4">
        <v>40000</v>
      </c>
      <c r="J722" s="4">
        <v>40000</v>
      </c>
      <c r="K722" s="5" t="s">
        <v>17</v>
      </c>
      <c r="L722">
        <f t="shared" si="56"/>
        <v>1</v>
      </c>
      <c r="M722">
        <f t="shared" ca="1" si="59"/>
        <v>28</v>
      </c>
      <c r="N722" s="15">
        <f t="shared" si="57"/>
        <v>0</v>
      </c>
      <c r="O722" t="str">
        <f t="shared" ca="1" si="58"/>
        <v>0-30 Days</v>
      </c>
    </row>
    <row r="723" spans="1:15" x14ac:dyDescent="0.3">
      <c r="A723" s="6" t="s">
        <v>1243</v>
      </c>
      <c r="B723" s="7" t="s">
        <v>242</v>
      </c>
      <c r="C723" s="6" t="s">
        <v>12</v>
      </c>
      <c r="D723" s="2" t="str">
        <f t="shared" si="55"/>
        <v>Jun</v>
      </c>
      <c r="E723" s="25" t="s">
        <v>655</v>
      </c>
      <c r="F723" s="21" t="s">
        <v>294</v>
      </c>
      <c r="G723" s="21" t="s">
        <v>345</v>
      </c>
      <c r="H723" s="21" t="s">
        <v>443</v>
      </c>
      <c r="I723" s="8">
        <v>18000</v>
      </c>
      <c r="J723" s="8">
        <v>18000</v>
      </c>
      <c r="K723" s="9" t="s">
        <v>45</v>
      </c>
      <c r="L723">
        <f t="shared" si="56"/>
        <v>2</v>
      </c>
      <c r="M723">
        <f t="shared" ca="1" si="59"/>
        <v>33</v>
      </c>
      <c r="N723" s="15">
        <f t="shared" si="57"/>
        <v>0</v>
      </c>
      <c r="O723" t="str">
        <f t="shared" ca="1" si="58"/>
        <v>31-60 Days</v>
      </c>
    </row>
    <row r="724" spans="1:15" x14ac:dyDescent="0.3">
      <c r="A724" s="2" t="s">
        <v>1244</v>
      </c>
      <c r="B724" s="3" t="s">
        <v>365</v>
      </c>
      <c r="C724" s="2" t="s">
        <v>40</v>
      </c>
      <c r="D724" s="2" t="str">
        <f t="shared" si="55"/>
        <v>Aug</v>
      </c>
      <c r="E724" s="24" t="s">
        <v>320</v>
      </c>
      <c r="F724" s="20" t="s">
        <v>555</v>
      </c>
      <c r="G724" s="20" t="s">
        <v>117</v>
      </c>
      <c r="H724" s="20"/>
      <c r="I724" s="4">
        <v>18000</v>
      </c>
      <c r="J724" s="4">
        <v>0</v>
      </c>
      <c r="K724" s="12" t="s">
        <v>71</v>
      </c>
      <c r="L724">
        <f t="shared" si="56"/>
        <v>1</v>
      </c>
      <c r="M724">
        <f t="shared" ca="1" si="59"/>
        <v>304</v>
      </c>
      <c r="N724" s="15">
        <f t="shared" si="57"/>
        <v>18000</v>
      </c>
      <c r="O724" t="str">
        <f t="shared" ca="1" si="58"/>
        <v>90+ Days</v>
      </c>
    </row>
    <row r="725" spans="1:15" x14ac:dyDescent="0.3">
      <c r="A725" s="6" t="s">
        <v>1245</v>
      </c>
      <c r="B725" s="7" t="s">
        <v>160</v>
      </c>
      <c r="C725" s="6" t="s">
        <v>40</v>
      </c>
      <c r="D725" s="2" t="str">
        <f t="shared" si="55"/>
        <v>Sep</v>
      </c>
      <c r="E725" s="25" t="s">
        <v>213</v>
      </c>
      <c r="F725" s="21" t="s">
        <v>118</v>
      </c>
      <c r="G725" s="21" t="s">
        <v>273</v>
      </c>
      <c r="H725" s="21" t="s">
        <v>400</v>
      </c>
      <c r="I725" s="8">
        <v>8000</v>
      </c>
      <c r="J725" s="8">
        <v>8000</v>
      </c>
      <c r="K725" s="5" t="s">
        <v>17</v>
      </c>
      <c r="L725">
        <f t="shared" si="56"/>
        <v>2</v>
      </c>
      <c r="M725">
        <f t="shared" ca="1" si="59"/>
        <v>10</v>
      </c>
      <c r="N725" s="15">
        <f t="shared" si="57"/>
        <v>0</v>
      </c>
      <c r="O725" t="str">
        <f t="shared" ca="1" si="58"/>
        <v>0-30 Days</v>
      </c>
    </row>
    <row r="726" spans="1:15" x14ac:dyDescent="0.3">
      <c r="A726" s="2" t="s">
        <v>1246</v>
      </c>
      <c r="B726" s="3" t="s">
        <v>268</v>
      </c>
      <c r="C726" s="2" t="s">
        <v>33</v>
      </c>
      <c r="D726" s="2" t="str">
        <f t="shared" si="55"/>
        <v>Jun</v>
      </c>
      <c r="E726" s="24" t="s">
        <v>396</v>
      </c>
      <c r="F726" s="20" t="s">
        <v>746</v>
      </c>
      <c r="G726" s="20" t="s">
        <v>747</v>
      </c>
      <c r="H726" s="20" t="s">
        <v>54</v>
      </c>
      <c r="I726" s="4">
        <v>45000</v>
      </c>
      <c r="J726" s="4">
        <v>45000</v>
      </c>
      <c r="K726" s="5" t="s">
        <v>17</v>
      </c>
      <c r="L726">
        <f t="shared" si="56"/>
        <v>3</v>
      </c>
      <c r="M726">
        <f t="shared" ca="1" si="59"/>
        <v>21</v>
      </c>
      <c r="N726" s="15">
        <f t="shared" si="57"/>
        <v>0</v>
      </c>
      <c r="O726" t="str">
        <f t="shared" ca="1" si="58"/>
        <v>0-30 Days</v>
      </c>
    </row>
    <row r="727" spans="1:15" x14ac:dyDescent="0.3">
      <c r="A727" s="6" t="s">
        <v>1247</v>
      </c>
      <c r="B727" s="7" t="s">
        <v>494</v>
      </c>
      <c r="C727" s="6" t="s">
        <v>12</v>
      </c>
      <c r="D727" s="2" t="str">
        <f t="shared" si="55"/>
        <v>Jan</v>
      </c>
      <c r="E727" s="25" t="s">
        <v>357</v>
      </c>
      <c r="F727" s="21" t="s">
        <v>27</v>
      </c>
      <c r="G727" s="21" t="s">
        <v>358</v>
      </c>
      <c r="H727" s="21"/>
      <c r="I727" s="8">
        <v>30000</v>
      </c>
      <c r="J727" s="8">
        <v>0</v>
      </c>
      <c r="K727" s="10" t="s">
        <v>57</v>
      </c>
      <c r="L727">
        <f t="shared" si="56"/>
        <v>1</v>
      </c>
      <c r="M727">
        <f t="shared" ca="1" si="59"/>
        <v>516</v>
      </c>
      <c r="N727" s="15">
        <f t="shared" si="57"/>
        <v>30000</v>
      </c>
      <c r="O727" t="str">
        <f t="shared" ca="1" si="58"/>
        <v>90+ Days</v>
      </c>
    </row>
    <row r="728" spans="1:15" x14ac:dyDescent="0.3">
      <c r="A728" s="2" t="s">
        <v>1248</v>
      </c>
      <c r="B728" s="3" t="s">
        <v>780</v>
      </c>
      <c r="C728" s="2" t="s">
        <v>26</v>
      </c>
      <c r="D728" s="2" t="str">
        <f t="shared" si="55"/>
        <v>Jan</v>
      </c>
      <c r="E728" s="24" t="s">
        <v>105</v>
      </c>
      <c r="F728" s="20" t="s">
        <v>550</v>
      </c>
      <c r="G728" s="20" t="s">
        <v>1070</v>
      </c>
      <c r="H728" s="20" t="s">
        <v>29</v>
      </c>
      <c r="I728" s="4">
        <v>8000</v>
      </c>
      <c r="J728" s="4">
        <v>8000</v>
      </c>
      <c r="K728" s="5" t="s">
        <v>17</v>
      </c>
      <c r="L728">
        <f t="shared" si="56"/>
        <v>1</v>
      </c>
      <c r="M728">
        <f t="shared" ca="1" si="59"/>
        <v>16</v>
      </c>
      <c r="N728" s="15">
        <f t="shared" si="57"/>
        <v>0</v>
      </c>
      <c r="O728" t="str">
        <f t="shared" ca="1" si="58"/>
        <v>0-30 Days</v>
      </c>
    </row>
    <row r="729" spans="1:15" x14ac:dyDescent="0.3">
      <c r="A729" s="6" t="s">
        <v>1249</v>
      </c>
      <c r="B729" s="7" t="s">
        <v>519</v>
      </c>
      <c r="C729" s="6" t="s">
        <v>12</v>
      </c>
      <c r="D729" s="2" t="str">
        <f t="shared" si="55"/>
        <v>Apr</v>
      </c>
      <c r="E729" s="25" t="s">
        <v>477</v>
      </c>
      <c r="F729" s="21" t="s">
        <v>467</v>
      </c>
      <c r="G729" s="21" t="s">
        <v>468</v>
      </c>
      <c r="H729" s="21"/>
      <c r="I729" s="8">
        <v>100000</v>
      </c>
      <c r="J729" s="8">
        <v>0</v>
      </c>
      <c r="K729" s="10" t="s">
        <v>57</v>
      </c>
      <c r="L729">
        <f t="shared" si="56"/>
        <v>2</v>
      </c>
      <c r="M729">
        <f t="shared" ca="1" si="59"/>
        <v>428</v>
      </c>
      <c r="N729" s="15">
        <f t="shared" si="57"/>
        <v>100000</v>
      </c>
      <c r="O729" t="str">
        <f t="shared" ca="1" si="58"/>
        <v>90+ Days</v>
      </c>
    </row>
    <row r="730" spans="1:15" x14ac:dyDescent="0.3">
      <c r="A730" s="2" t="s">
        <v>1250</v>
      </c>
      <c r="B730" s="3" t="s">
        <v>293</v>
      </c>
      <c r="C730" s="2" t="s">
        <v>12</v>
      </c>
      <c r="D730" s="2" t="str">
        <f t="shared" si="55"/>
        <v>Jul</v>
      </c>
      <c r="E730" s="24" t="s">
        <v>991</v>
      </c>
      <c r="F730" s="20" t="s">
        <v>253</v>
      </c>
      <c r="G730" s="20" t="s">
        <v>96</v>
      </c>
      <c r="H730" s="20" t="s">
        <v>88</v>
      </c>
      <c r="I730" s="4">
        <v>15000</v>
      </c>
      <c r="J730" s="4">
        <v>15000</v>
      </c>
      <c r="K730" s="9" t="s">
        <v>45</v>
      </c>
      <c r="L730">
        <f t="shared" si="56"/>
        <v>3</v>
      </c>
      <c r="M730">
        <f t="shared" ca="1" si="59"/>
        <v>38</v>
      </c>
      <c r="N730" s="15">
        <f t="shared" si="57"/>
        <v>0</v>
      </c>
      <c r="O730" t="str">
        <f t="shared" ca="1" si="58"/>
        <v>31-60 Days</v>
      </c>
    </row>
    <row r="731" spans="1:15" x14ac:dyDescent="0.3">
      <c r="A731" s="6" t="s">
        <v>1251</v>
      </c>
      <c r="B731" s="7" t="s">
        <v>658</v>
      </c>
      <c r="C731" s="6" t="s">
        <v>12</v>
      </c>
      <c r="D731" s="2" t="str">
        <f t="shared" si="55"/>
        <v>Sep</v>
      </c>
      <c r="E731" s="25" t="s">
        <v>483</v>
      </c>
      <c r="F731" s="21" t="s">
        <v>132</v>
      </c>
      <c r="G731" s="21" t="s">
        <v>133</v>
      </c>
      <c r="H731" s="21" t="s">
        <v>183</v>
      </c>
      <c r="I731" s="8">
        <v>22000</v>
      </c>
      <c r="J731" s="8">
        <v>22000</v>
      </c>
      <c r="K731" s="5" t="s">
        <v>17</v>
      </c>
      <c r="L731">
        <f t="shared" si="56"/>
        <v>3</v>
      </c>
      <c r="M731">
        <f t="shared" ca="1" si="59"/>
        <v>20</v>
      </c>
      <c r="N731" s="15">
        <f t="shared" si="57"/>
        <v>0</v>
      </c>
      <c r="O731" t="str">
        <f t="shared" ca="1" si="58"/>
        <v>0-30 Days</v>
      </c>
    </row>
    <row r="732" spans="1:15" x14ac:dyDescent="0.3">
      <c r="A732" s="2" t="s">
        <v>1252</v>
      </c>
      <c r="B732" s="3" t="s">
        <v>39</v>
      </c>
      <c r="C732" s="2" t="s">
        <v>40</v>
      </c>
      <c r="D732" s="2" t="str">
        <f t="shared" si="55"/>
        <v>Oct</v>
      </c>
      <c r="E732" s="24" t="s">
        <v>244</v>
      </c>
      <c r="F732" s="20" t="s">
        <v>259</v>
      </c>
      <c r="G732" s="20" t="s">
        <v>278</v>
      </c>
      <c r="H732" s="20" t="s">
        <v>327</v>
      </c>
      <c r="I732" s="4">
        <v>100000</v>
      </c>
      <c r="J732" s="4">
        <v>100000</v>
      </c>
      <c r="K732" s="5" t="s">
        <v>17</v>
      </c>
      <c r="L732">
        <f t="shared" si="56"/>
        <v>2</v>
      </c>
      <c r="M732">
        <f t="shared" ca="1" si="59"/>
        <v>13</v>
      </c>
      <c r="N732" s="15">
        <f t="shared" si="57"/>
        <v>0</v>
      </c>
      <c r="O732" t="str">
        <f t="shared" ca="1" si="58"/>
        <v>0-30 Days</v>
      </c>
    </row>
    <row r="733" spans="1:15" x14ac:dyDescent="0.3">
      <c r="A733" s="6" t="s">
        <v>1253</v>
      </c>
      <c r="B733" s="7" t="s">
        <v>306</v>
      </c>
      <c r="C733" s="6" t="s">
        <v>12</v>
      </c>
      <c r="D733" s="2" t="str">
        <f t="shared" si="55"/>
        <v>Dec</v>
      </c>
      <c r="E733" s="25" t="s">
        <v>98</v>
      </c>
      <c r="F733" s="21" t="s">
        <v>189</v>
      </c>
      <c r="G733" s="21" t="s">
        <v>825</v>
      </c>
      <c r="H733" s="21" t="s">
        <v>580</v>
      </c>
      <c r="I733" s="8">
        <v>60000</v>
      </c>
      <c r="J733" s="8">
        <v>60000</v>
      </c>
      <c r="K733" s="5" t="s">
        <v>17</v>
      </c>
      <c r="L733">
        <f t="shared" si="56"/>
        <v>1</v>
      </c>
      <c r="M733">
        <f t="shared" ca="1" si="59"/>
        <v>6</v>
      </c>
      <c r="N733" s="15">
        <f t="shared" si="57"/>
        <v>0</v>
      </c>
      <c r="O733" t="str">
        <f t="shared" ca="1" si="58"/>
        <v>0-30 Days</v>
      </c>
    </row>
    <row r="734" spans="1:15" x14ac:dyDescent="0.3">
      <c r="A734" s="2" t="s">
        <v>1254</v>
      </c>
      <c r="B734" s="3" t="s">
        <v>84</v>
      </c>
      <c r="C734" s="2" t="s">
        <v>12</v>
      </c>
      <c r="D734" s="2" t="str">
        <f t="shared" si="55"/>
        <v>Oct</v>
      </c>
      <c r="E734" s="24" t="s">
        <v>602</v>
      </c>
      <c r="F734" s="20" t="s">
        <v>392</v>
      </c>
      <c r="G734" s="20" t="s">
        <v>547</v>
      </c>
      <c r="H734" s="20" t="s">
        <v>282</v>
      </c>
      <c r="I734" s="4">
        <v>40000</v>
      </c>
      <c r="J734" s="4">
        <v>40000</v>
      </c>
      <c r="K734" s="9" t="s">
        <v>45</v>
      </c>
      <c r="L734">
        <f t="shared" si="56"/>
        <v>1</v>
      </c>
      <c r="M734">
        <f t="shared" ca="1" si="59"/>
        <v>52</v>
      </c>
      <c r="N734" s="15">
        <f t="shared" si="57"/>
        <v>0</v>
      </c>
      <c r="O734" t="str">
        <f t="shared" ca="1" si="58"/>
        <v>31-60 Days</v>
      </c>
    </row>
    <row r="735" spans="1:15" x14ac:dyDescent="0.3">
      <c r="A735" s="6" t="s">
        <v>1255</v>
      </c>
      <c r="B735" s="7" t="s">
        <v>280</v>
      </c>
      <c r="C735" s="6" t="s">
        <v>33</v>
      </c>
      <c r="D735" s="2" t="str">
        <f t="shared" si="55"/>
        <v>May</v>
      </c>
      <c r="E735" s="25" t="s">
        <v>109</v>
      </c>
      <c r="F735" s="21" t="s">
        <v>224</v>
      </c>
      <c r="G735" s="21" t="s">
        <v>350</v>
      </c>
      <c r="H735" s="21" t="s">
        <v>294</v>
      </c>
      <c r="I735" s="8">
        <v>18000</v>
      </c>
      <c r="J735" s="8">
        <v>18000</v>
      </c>
      <c r="K735" s="5" t="s">
        <v>17</v>
      </c>
      <c r="L735">
        <f t="shared" si="56"/>
        <v>3</v>
      </c>
      <c r="M735">
        <f t="shared" ca="1" si="59"/>
        <v>26</v>
      </c>
      <c r="N735" s="15">
        <f t="shared" si="57"/>
        <v>0</v>
      </c>
      <c r="O735" t="str">
        <f t="shared" ca="1" si="58"/>
        <v>0-30 Days</v>
      </c>
    </row>
    <row r="736" spans="1:15" x14ac:dyDescent="0.3">
      <c r="A736" s="2" t="s">
        <v>1256</v>
      </c>
      <c r="B736" s="3" t="s">
        <v>144</v>
      </c>
      <c r="C736" s="2" t="s">
        <v>12</v>
      </c>
      <c r="D736" s="2" t="str">
        <f t="shared" si="55"/>
        <v>Aug</v>
      </c>
      <c r="E736" s="24" t="s">
        <v>228</v>
      </c>
      <c r="F736" s="20" t="s">
        <v>341</v>
      </c>
      <c r="G736" s="20" t="s">
        <v>183</v>
      </c>
      <c r="H736" s="20" t="s">
        <v>416</v>
      </c>
      <c r="I736" s="4">
        <v>25000</v>
      </c>
      <c r="J736" s="4">
        <v>25000</v>
      </c>
      <c r="K736" s="9" t="s">
        <v>45</v>
      </c>
      <c r="L736">
        <f t="shared" si="56"/>
        <v>1</v>
      </c>
      <c r="M736">
        <f t="shared" ca="1" si="59"/>
        <v>31</v>
      </c>
      <c r="N736" s="15">
        <f t="shared" si="57"/>
        <v>0</v>
      </c>
      <c r="O736" t="str">
        <f t="shared" ca="1" si="58"/>
        <v>31-60 Days</v>
      </c>
    </row>
    <row r="737" spans="1:15" x14ac:dyDescent="0.3">
      <c r="A737" s="6" t="s">
        <v>1257</v>
      </c>
      <c r="B737" s="7" t="s">
        <v>198</v>
      </c>
      <c r="C737" s="6" t="s">
        <v>26</v>
      </c>
      <c r="D737" s="2" t="str">
        <f t="shared" si="55"/>
        <v>May</v>
      </c>
      <c r="E737" s="25" t="s">
        <v>559</v>
      </c>
      <c r="F737" s="21" t="s">
        <v>404</v>
      </c>
      <c r="G737" s="21" t="s">
        <v>746</v>
      </c>
      <c r="H737" s="21"/>
      <c r="I737" s="8">
        <v>60000</v>
      </c>
      <c r="J737" s="8">
        <v>0</v>
      </c>
      <c r="K737" s="12" t="s">
        <v>71</v>
      </c>
      <c r="L737">
        <f t="shared" si="56"/>
        <v>3</v>
      </c>
      <c r="M737">
        <f t="shared" ca="1" si="59"/>
        <v>399</v>
      </c>
      <c r="N737" s="15">
        <f t="shared" si="57"/>
        <v>60000</v>
      </c>
      <c r="O737" t="str">
        <f t="shared" ca="1" si="58"/>
        <v>90+ Days</v>
      </c>
    </row>
    <row r="738" spans="1:15" x14ac:dyDescent="0.3">
      <c r="A738" s="2" t="s">
        <v>1258</v>
      </c>
      <c r="B738" s="3" t="s">
        <v>519</v>
      </c>
      <c r="C738" s="2" t="s">
        <v>12</v>
      </c>
      <c r="D738" s="2" t="str">
        <f t="shared" si="55"/>
        <v>Nov</v>
      </c>
      <c r="E738" s="24" t="s">
        <v>142</v>
      </c>
      <c r="F738" s="20" t="s">
        <v>91</v>
      </c>
      <c r="G738" s="20" t="s">
        <v>544</v>
      </c>
      <c r="H738" s="20" t="s">
        <v>663</v>
      </c>
      <c r="I738" s="4">
        <v>18000</v>
      </c>
      <c r="J738" s="4">
        <v>9000</v>
      </c>
      <c r="K738" s="13" t="s">
        <v>113</v>
      </c>
      <c r="L738">
        <f t="shared" si="56"/>
        <v>2</v>
      </c>
      <c r="M738">
        <f t="shared" ca="1" si="59"/>
        <v>27</v>
      </c>
      <c r="N738" s="15">
        <f t="shared" si="57"/>
        <v>9000</v>
      </c>
      <c r="O738" t="str">
        <f t="shared" ca="1" si="58"/>
        <v>0-30 Days</v>
      </c>
    </row>
    <row r="739" spans="1:15" x14ac:dyDescent="0.3">
      <c r="A739" s="6" t="s">
        <v>1259</v>
      </c>
      <c r="B739" s="7" t="s">
        <v>570</v>
      </c>
      <c r="C739" s="6" t="s">
        <v>33</v>
      </c>
      <c r="D739" s="2" t="str">
        <f t="shared" si="55"/>
        <v>Apr</v>
      </c>
      <c r="E739" s="25" t="s">
        <v>435</v>
      </c>
      <c r="F739" s="21" t="s">
        <v>205</v>
      </c>
      <c r="G739" s="21" t="s">
        <v>42</v>
      </c>
      <c r="H739" s="21" t="s">
        <v>350</v>
      </c>
      <c r="I739" s="8">
        <v>60000</v>
      </c>
      <c r="J739" s="8">
        <v>60000</v>
      </c>
      <c r="K739" s="9" t="s">
        <v>45</v>
      </c>
      <c r="L739">
        <f t="shared" si="56"/>
        <v>2</v>
      </c>
      <c r="M739">
        <f t="shared" ca="1" si="59"/>
        <v>57</v>
      </c>
      <c r="N739" s="15">
        <f t="shared" si="57"/>
        <v>0</v>
      </c>
      <c r="O739" t="str">
        <f t="shared" ca="1" si="58"/>
        <v>31-60 Days</v>
      </c>
    </row>
    <row r="740" spans="1:15" x14ac:dyDescent="0.3">
      <c r="A740" s="2" t="s">
        <v>1260</v>
      </c>
      <c r="B740" s="3" t="s">
        <v>68</v>
      </c>
      <c r="C740" s="2" t="s">
        <v>33</v>
      </c>
      <c r="D740" s="2" t="str">
        <f t="shared" si="55"/>
        <v>Jul</v>
      </c>
      <c r="E740" s="24" t="s">
        <v>991</v>
      </c>
      <c r="F740" s="20" t="s">
        <v>253</v>
      </c>
      <c r="G740" s="20" t="s">
        <v>96</v>
      </c>
      <c r="H740" s="20" t="s">
        <v>156</v>
      </c>
      <c r="I740" s="4">
        <v>15000</v>
      </c>
      <c r="J740" s="4">
        <v>15000</v>
      </c>
      <c r="K740" s="5" t="s">
        <v>17</v>
      </c>
      <c r="L740">
        <f t="shared" si="56"/>
        <v>3</v>
      </c>
      <c r="M740">
        <f t="shared" ca="1" si="59"/>
        <v>26</v>
      </c>
      <c r="N740" s="15">
        <f t="shared" si="57"/>
        <v>0</v>
      </c>
      <c r="O740" t="str">
        <f t="shared" ca="1" si="58"/>
        <v>0-30 Days</v>
      </c>
    </row>
    <row r="741" spans="1:15" x14ac:dyDescent="0.3">
      <c r="A741" s="6" t="s">
        <v>1261</v>
      </c>
      <c r="B741" s="7" t="s">
        <v>658</v>
      </c>
      <c r="C741" s="6" t="s">
        <v>12</v>
      </c>
      <c r="D741" s="2" t="str">
        <f t="shared" si="55"/>
        <v>Oct</v>
      </c>
      <c r="E741" s="25" t="s">
        <v>34</v>
      </c>
      <c r="F741" s="21" t="s">
        <v>121</v>
      </c>
      <c r="G741" s="21" t="s">
        <v>122</v>
      </c>
      <c r="H741" s="21" t="s">
        <v>125</v>
      </c>
      <c r="I741" s="8">
        <v>60000</v>
      </c>
      <c r="J741" s="8">
        <v>60000</v>
      </c>
      <c r="K741" s="5" t="s">
        <v>17</v>
      </c>
      <c r="L741">
        <f t="shared" si="56"/>
        <v>3</v>
      </c>
      <c r="M741">
        <f t="shared" ca="1" si="59"/>
        <v>8</v>
      </c>
      <c r="N741" s="15">
        <f t="shared" si="57"/>
        <v>0</v>
      </c>
      <c r="O741" t="str">
        <f t="shared" ca="1" si="58"/>
        <v>0-30 Days</v>
      </c>
    </row>
    <row r="742" spans="1:15" x14ac:dyDescent="0.3">
      <c r="A742" s="2" t="s">
        <v>1262</v>
      </c>
      <c r="B742" s="3" t="s">
        <v>527</v>
      </c>
      <c r="C742" s="2" t="s">
        <v>12</v>
      </c>
      <c r="D742" s="2" t="str">
        <f t="shared" si="55"/>
        <v>Feb</v>
      </c>
      <c r="E742" s="24" t="s">
        <v>199</v>
      </c>
      <c r="F742" s="20" t="s">
        <v>200</v>
      </c>
      <c r="G742" s="20" t="s">
        <v>201</v>
      </c>
      <c r="H742" s="20" t="s">
        <v>382</v>
      </c>
      <c r="I742" s="4">
        <v>50000</v>
      </c>
      <c r="J742" s="4">
        <v>50000</v>
      </c>
      <c r="K742" s="9" t="s">
        <v>45</v>
      </c>
      <c r="L742">
        <f t="shared" si="56"/>
        <v>2</v>
      </c>
      <c r="M742">
        <f t="shared" ca="1" si="59"/>
        <v>58</v>
      </c>
      <c r="N742" s="15">
        <f t="shared" si="57"/>
        <v>0</v>
      </c>
      <c r="O742" t="str">
        <f t="shared" ca="1" si="58"/>
        <v>31-60 Days</v>
      </c>
    </row>
    <row r="743" spans="1:15" x14ac:dyDescent="0.3">
      <c r="A743" s="6" t="s">
        <v>1263</v>
      </c>
      <c r="B743" s="7" t="s">
        <v>47</v>
      </c>
      <c r="C743" s="6" t="s">
        <v>40</v>
      </c>
      <c r="D743" s="2" t="str">
        <f t="shared" si="55"/>
        <v>May</v>
      </c>
      <c r="E743" s="25" t="s">
        <v>468</v>
      </c>
      <c r="F743" s="21" t="s">
        <v>151</v>
      </c>
      <c r="G743" s="21" t="s">
        <v>294</v>
      </c>
      <c r="H743" s="21" t="s">
        <v>154</v>
      </c>
      <c r="I743" s="8">
        <v>60000</v>
      </c>
      <c r="J743" s="8">
        <v>60000</v>
      </c>
      <c r="K743" s="5" t="s">
        <v>17</v>
      </c>
      <c r="L743">
        <f t="shared" si="56"/>
        <v>3</v>
      </c>
      <c r="M743">
        <f t="shared" ca="1" si="59"/>
        <v>21</v>
      </c>
      <c r="N743" s="15">
        <f t="shared" si="57"/>
        <v>0</v>
      </c>
      <c r="O743" t="str">
        <f t="shared" ca="1" si="58"/>
        <v>0-30 Days</v>
      </c>
    </row>
    <row r="744" spans="1:15" x14ac:dyDescent="0.3">
      <c r="A744" s="2" t="s">
        <v>1264</v>
      </c>
      <c r="B744" s="3" t="s">
        <v>160</v>
      </c>
      <c r="C744" s="2" t="s">
        <v>40</v>
      </c>
      <c r="D744" s="2" t="str">
        <f t="shared" si="55"/>
        <v>May</v>
      </c>
      <c r="E744" s="24" t="s">
        <v>411</v>
      </c>
      <c r="F744" s="20" t="s">
        <v>163</v>
      </c>
      <c r="G744" s="20" t="s">
        <v>792</v>
      </c>
      <c r="H744" s="20" t="s">
        <v>311</v>
      </c>
      <c r="I744" s="4">
        <v>12000</v>
      </c>
      <c r="J744" s="4">
        <v>12000</v>
      </c>
      <c r="K744" s="9" t="s">
        <v>45</v>
      </c>
      <c r="L744">
        <f t="shared" si="56"/>
        <v>1</v>
      </c>
      <c r="M744">
        <f t="shared" ca="1" si="59"/>
        <v>52</v>
      </c>
      <c r="N744" s="15">
        <f t="shared" si="57"/>
        <v>0</v>
      </c>
      <c r="O744" t="str">
        <f t="shared" ca="1" si="58"/>
        <v>31-60 Days</v>
      </c>
    </row>
    <row r="745" spans="1:15" x14ac:dyDescent="0.3">
      <c r="A745" s="6" t="s">
        <v>1265</v>
      </c>
      <c r="B745" s="7" t="s">
        <v>457</v>
      </c>
      <c r="C745" s="6" t="s">
        <v>40</v>
      </c>
      <c r="D745" s="2" t="str">
        <f t="shared" si="55"/>
        <v>Jan</v>
      </c>
      <c r="E745" s="25" t="s">
        <v>455</v>
      </c>
      <c r="F745" s="21" t="s">
        <v>28</v>
      </c>
      <c r="G745" s="21" t="s">
        <v>29</v>
      </c>
      <c r="H745" s="21"/>
      <c r="I745" s="8">
        <v>35000</v>
      </c>
      <c r="J745" s="8">
        <v>0</v>
      </c>
      <c r="K745" s="11" t="s">
        <v>63</v>
      </c>
      <c r="L745">
        <f t="shared" si="56"/>
        <v>3</v>
      </c>
      <c r="M745">
        <f t="shared" ca="1" si="59"/>
        <v>515</v>
      </c>
      <c r="N745" s="15">
        <f t="shared" si="57"/>
        <v>35000</v>
      </c>
      <c r="O745" t="str">
        <f t="shared" ca="1" si="58"/>
        <v>90+ Days</v>
      </c>
    </row>
    <row r="746" spans="1:15" x14ac:dyDescent="0.3">
      <c r="A746" s="2" t="s">
        <v>1266</v>
      </c>
      <c r="B746" s="3" t="s">
        <v>255</v>
      </c>
      <c r="C746" s="2" t="s">
        <v>26</v>
      </c>
      <c r="D746" s="2" t="str">
        <f t="shared" si="55"/>
        <v>Aug</v>
      </c>
      <c r="E746" s="24" t="s">
        <v>333</v>
      </c>
      <c r="F746" s="20" t="s">
        <v>635</v>
      </c>
      <c r="G746" s="20" t="s">
        <v>399</v>
      </c>
      <c r="H746" s="20"/>
      <c r="I746" s="4">
        <v>12000</v>
      </c>
      <c r="J746" s="4">
        <v>0</v>
      </c>
      <c r="K746" s="12" t="s">
        <v>71</v>
      </c>
      <c r="L746">
        <f t="shared" si="56"/>
        <v>2</v>
      </c>
      <c r="M746">
        <f t="shared" ca="1" si="59"/>
        <v>315</v>
      </c>
      <c r="N746" s="15">
        <f t="shared" si="57"/>
        <v>12000</v>
      </c>
      <c r="O746" t="str">
        <f t="shared" ca="1" si="58"/>
        <v>90+ Days</v>
      </c>
    </row>
    <row r="747" spans="1:15" x14ac:dyDescent="0.3">
      <c r="A747" s="6" t="s">
        <v>1267</v>
      </c>
      <c r="B747" s="7" t="s">
        <v>325</v>
      </c>
      <c r="C747" s="6" t="s">
        <v>12</v>
      </c>
      <c r="D747" s="2" t="str">
        <f t="shared" si="55"/>
        <v>Dec</v>
      </c>
      <c r="E747" s="25" t="s">
        <v>93</v>
      </c>
      <c r="F747" s="21" t="s">
        <v>138</v>
      </c>
      <c r="G747" s="21" t="s">
        <v>1065</v>
      </c>
      <c r="H747" s="21" t="s">
        <v>1198</v>
      </c>
      <c r="I747" s="8">
        <v>30000</v>
      </c>
      <c r="J747" s="8">
        <v>30000</v>
      </c>
      <c r="K747" s="5" t="s">
        <v>17</v>
      </c>
      <c r="L747">
        <f t="shared" si="56"/>
        <v>3</v>
      </c>
      <c r="M747">
        <f t="shared" ca="1" si="59"/>
        <v>27</v>
      </c>
      <c r="N747" s="15">
        <f t="shared" si="57"/>
        <v>0</v>
      </c>
      <c r="O747" t="str">
        <f t="shared" ca="1" si="58"/>
        <v>0-30 Days</v>
      </c>
    </row>
    <row r="748" spans="1:15" x14ac:dyDescent="0.3">
      <c r="A748" s="2" t="s">
        <v>1268</v>
      </c>
      <c r="B748" s="3" t="s">
        <v>198</v>
      </c>
      <c r="C748" s="2" t="s">
        <v>26</v>
      </c>
      <c r="D748" s="2" t="str">
        <f t="shared" si="55"/>
        <v>Dec</v>
      </c>
      <c r="E748" s="24" t="s">
        <v>146</v>
      </c>
      <c r="F748" s="20" t="s">
        <v>190</v>
      </c>
      <c r="G748" s="20" t="s">
        <v>191</v>
      </c>
      <c r="H748" s="20" t="s">
        <v>147</v>
      </c>
      <c r="I748" s="4">
        <v>35000</v>
      </c>
      <c r="J748" s="4">
        <v>26250</v>
      </c>
      <c r="K748" s="13" t="s">
        <v>113</v>
      </c>
      <c r="L748">
        <f t="shared" si="56"/>
        <v>3</v>
      </c>
      <c r="M748">
        <f t="shared" ca="1" si="59"/>
        <v>27</v>
      </c>
      <c r="N748" s="15">
        <f t="shared" si="57"/>
        <v>8750</v>
      </c>
      <c r="O748" t="str">
        <f t="shared" ca="1" si="58"/>
        <v>0-30 Days</v>
      </c>
    </row>
    <row r="749" spans="1:15" x14ac:dyDescent="0.3">
      <c r="A749" s="6" t="s">
        <v>1269</v>
      </c>
      <c r="B749" s="7" t="s">
        <v>165</v>
      </c>
      <c r="C749" s="6" t="s">
        <v>26</v>
      </c>
      <c r="D749" s="2" t="str">
        <f t="shared" si="55"/>
        <v>Mar</v>
      </c>
      <c r="E749" s="25" t="s">
        <v>1218</v>
      </c>
      <c r="F749" s="21" t="s">
        <v>219</v>
      </c>
      <c r="G749" s="21" t="s">
        <v>577</v>
      </c>
      <c r="H749" s="21" t="s">
        <v>222</v>
      </c>
      <c r="I749" s="8">
        <v>55000</v>
      </c>
      <c r="J749" s="8">
        <v>55000</v>
      </c>
      <c r="K749" s="5" t="s">
        <v>17</v>
      </c>
      <c r="L749">
        <f t="shared" si="56"/>
        <v>3</v>
      </c>
      <c r="M749">
        <f t="shared" ca="1" si="59"/>
        <v>8</v>
      </c>
      <c r="N749" s="15">
        <f t="shared" si="57"/>
        <v>0</v>
      </c>
      <c r="O749" t="str">
        <f t="shared" ca="1" si="58"/>
        <v>0-30 Days</v>
      </c>
    </row>
    <row r="750" spans="1:15" x14ac:dyDescent="0.3">
      <c r="A750" s="2" t="s">
        <v>1270</v>
      </c>
      <c r="B750" s="3" t="s">
        <v>461</v>
      </c>
      <c r="C750" s="2" t="s">
        <v>12</v>
      </c>
      <c r="D750" s="2" t="str">
        <f t="shared" si="55"/>
        <v>Mar</v>
      </c>
      <c r="E750" s="24" t="s">
        <v>809</v>
      </c>
      <c r="F750" s="20" t="s">
        <v>250</v>
      </c>
      <c r="G750" s="20" t="s">
        <v>222</v>
      </c>
      <c r="H750" s="20"/>
      <c r="I750" s="4">
        <v>50000</v>
      </c>
      <c r="J750" s="4">
        <v>0</v>
      </c>
      <c r="K750" s="12" t="s">
        <v>71</v>
      </c>
      <c r="L750">
        <f t="shared" si="56"/>
        <v>3</v>
      </c>
      <c r="M750">
        <f t="shared" ca="1" si="59"/>
        <v>463</v>
      </c>
      <c r="N750" s="15">
        <f t="shared" si="57"/>
        <v>50000</v>
      </c>
      <c r="O750" t="str">
        <f t="shared" ca="1" si="58"/>
        <v>90+ Days</v>
      </c>
    </row>
    <row r="751" spans="1:15" x14ac:dyDescent="0.3">
      <c r="A751" s="6" t="s">
        <v>1271</v>
      </c>
      <c r="B751" s="7" t="s">
        <v>660</v>
      </c>
      <c r="C751" s="6" t="s">
        <v>12</v>
      </c>
      <c r="D751" s="2" t="str">
        <f t="shared" si="55"/>
        <v>Apr</v>
      </c>
      <c r="E751" s="25" t="s">
        <v>237</v>
      </c>
      <c r="F751" s="21" t="s">
        <v>423</v>
      </c>
      <c r="G751" s="21" t="s">
        <v>591</v>
      </c>
      <c r="H751" s="21" t="s">
        <v>1144</v>
      </c>
      <c r="I751" s="8">
        <v>75000</v>
      </c>
      <c r="J751" s="8">
        <v>75000</v>
      </c>
      <c r="K751" s="9" t="s">
        <v>45</v>
      </c>
      <c r="L751">
        <f t="shared" si="56"/>
        <v>3</v>
      </c>
      <c r="M751">
        <f t="shared" ca="1" si="59"/>
        <v>38</v>
      </c>
      <c r="N751" s="15">
        <f t="shared" si="57"/>
        <v>0</v>
      </c>
      <c r="O751" t="str">
        <f t="shared" ca="1" si="58"/>
        <v>31-60 Days</v>
      </c>
    </row>
    <row r="752" spans="1:15" x14ac:dyDescent="0.3">
      <c r="A752" s="2" t="s">
        <v>1272</v>
      </c>
      <c r="B752" s="3" t="s">
        <v>802</v>
      </c>
      <c r="C752" s="2" t="s">
        <v>12</v>
      </c>
      <c r="D752" s="2" t="str">
        <f t="shared" si="55"/>
        <v>Apr</v>
      </c>
      <c r="E752" s="24" t="s">
        <v>405</v>
      </c>
      <c r="F752" s="20" t="s">
        <v>208</v>
      </c>
      <c r="G752" s="20" t="s">
        <v>386</v>
      </c>
      <c r="H752" s="20" t="s">
        <v>404</v>
      </c>
      <c r="I752" s="4">
        <v>60000</v>
      </c>
      <c r="J752" s="4">
        <v>60000</v>
      </c>
      <c r="K752" s="5" t="s">
        <v>17</v>
      </c>
      <c r="L752">
        <f t="shared" si="56"/>
        <v>3</v>
      </c>
      <c r="M752">
        <f t="shared" ca="1" si="59"/>
        <v>15</v>
      </c>
      <c r="N752" s="15">
        <f t="shared" si="57"/>
        <v>0</v>
      </c>
      <c r="O752" t="str">
        <f t="shared" ca="1" si="58"/>
        <v>0-30 Days</v>
      </c>
    </row>
    <row r="753" spans="1:15" x14ac:dyDescent="0.3">
      <c r="A753" s="6" t="s">
        <v>1273</v>
      </c>
      <c r="B753" s="7" t="s">
        <v>658</v>
      </c>
      <c r="C753" s="6" t="s">
        <v>12</v>
      </c>
      <c r="D753" s="2" t="str">
        <f t="shared" si="55"/>
        <v>May</v>
      </c>
      <c r="E753" s="25" t="s">
        <v>468</v>
      </c>
      <c r="F753" s="21" t="s">
        <v>151</v>
      </c>
      <c r="G753" s="21" t="s">
        <v>294</v>
      </c>
      <c r="H753" s="21" t="s">
        <v>426</v>
      </c>
      <c r="I753" s="8">
        <v>60000</v>
      </c>
      <c r="J753" s="8">
        <v>60000</v>
      </c>
      <c r="K753" s="5" t="s">
        <v>17</v>
      </c>
      <c r="L753">
        <f t="shared" si="56"/>
        <v>3</v>
      </c>
      <c r="M753">
        <f t="shared" ca="1" si="59"/>
        <v>8</v>
      </c>
      <c r="N753" s="15">
        <f t="shared" si="57"/>
        <v>0</v>
      </c>
      <c r="O753" t="str">
        <f t="shared" ca="1" si="58"/>
        <v>0-30 Days</v>
      </c>
    </row>
    <row r="754" spans="1:15" x14ac:dyDescent="0.3">
      <c r="A754" s="2" t="s">
        <v>1274</v>
      </c>
      <c r="B754" s="3" t="s">
        <v>461</v>
      </c>
      <c r="C754" s="2" t="s">
        <v>12</v>
      </c>
      <c r="D754" s="2" t="str">
        <f t="shared" si="55"/>
        <v>Jan</v>
      </c>
      <c r="E754" s="24" t="s">
        <v>1215</v>
      </c>
      <c r="F754" s="20" t="s">
        <v>550</v>
      </c>
      <c r="G754" s="20" t="s">
        <v>1070</v>
      </c>
      <c r="H754" s="20" t="s">
        <v>770</v>
      </c>
      <c r="I754" s="4">
        <v>10000</v>
      </c>
      <c r="J754" s="4">
        <v>10000</v>
      </c>
      <c r="K754" s="5" t="s">
        <v>17</v>
      </c>
      <c r="L754">
        <f t="shared" si="56"/>
        <v>3</v>
      </c>
      <c r="M754">
        <f t="shared" ca="1" si="59"/>
        <v>11</v>
      </c>
      <c r="N754" s="15">
        <f t="shared" si="57"/>
        <v>0</v>
      </c>
      <c r="O754" t="str">
        <f t="shared" ca="1" si="58"/>
        <v>0-30 Days</v>
      </c>
    </row>
    <row r="755" spans="1:15" x14ac:dyDescent="0.3">
      <c r="A755" s="6" t="s">
        <v>1275</v>
      </c>
      <c r="B755" s="7" t="s">
        <v>293</v>
      </c>
      <c r="C755" s="6" t="s">
        <v>12</v>
      </c>
      <c r="D755" s="2" t="str">
        <f t="shared" si="55"/>
        <v>Mar</v>
      </c>
      <c r="E755" s="25" t="s">
        <v>470</v>
      </c>
      <c r="F755" s="21" t="s">
        <v>201</v>
      </c>
      <c r="G755" s="21" t="s">
        <v>162</v>
      </c>
      <c r="H755" s="21" t="s">
        <v>298</v>
      </c>
      <c r="I755" s="8">
        <v>12000</v>
      </c>
      <c r="J755" s="8">
        <v>12000</v>
      </c>
      <c r="K755" s="5" t="s">
        <v>17</v>
      </c>
      <c r="L755">
        <f t="shared" si="56"/>
        <v>3</v>
      </c>
      <c r="M755">
        <f t="shared" ca="1" si="59"/>
        <v>18</v>
      </c>
      <c r="N755" s="15">
        <f t="shared" si="57"/>
        <v>0</v>
      </c>
      <c r="O755" t="str">
        <f t="shared" ca="1" si="58"/>
        <v>0-30 Days</v>
      </c>
    </row>
    <row r="756" spans="1:15" x14ac:dyDescent="0.3">
      <c r="A756" s="2" t="s">
        <v>1276</v>
      </c>
      <c r="B756" s="3" t="s">
        <v>313</v>
      </c>
      <c r="C756" s="2" t="s">
        <v>33</v>
      </c>
      <c r="D756" s="2" t="str">
        <f t="shared" si="55"/>
        <v>Mar</v>
      </c>
      <c r="E756" s="24" t="s">
        <v>725</v>
      </c>
      <c r="F756" s="20" t="s">
        <v>249</v>
      </c>
      <c r="G756" s="20" t="s">
        <v>498</v>
      </c>
      <c r="H756" s="20" t="s">
        <v>477</v>
      </c>
      <c r="I756" s="4">
        <v>30000</v>
      </c>
      <c r="J756" s="4">
        <v>30000</v>
      </c>
      <c r="K756" s="5" t="s">
        <v>17</v>
      </c>
      <c r="L756">
        <f t="shared" si="56"/>
        <v>1</v>
      </c>
      <c r="M756">
        <f t="shared" ca="1" si="59"/>
        <v>23</v>
      </c>
      <c r="N756" s="15">
        <f t="shared" si="57"/>
        <v>0</v>
      </c>
      <c r="O756" t="str">
        <f t="shared" ca="1" si="58"/>
        <v>0-30 Days</v>
      </c>
    </row>
    <row r="757" spans="1:15" x14ac:dyDescent="0.3">
      <c r="A757" s="6" t="s">
        <v>1277</v>
      </c>
      <c r="B757" s="7" t="s">
        <v>716</v>
      </c>
      <c r="C757" s="6" t="s">
        <v>12</v>
      </c>
      <c r="D757" s="2" t="str">
        <f t="shared" si="55"/>
        <v>Mar</v>
      </c>
      <c r="E757" s="25" t="s">
        <v>23</v>
      </c>
      <c r="F757" s="21" t="s">
        <v>976</v>
      </c>
      <c r="G757" s="21" t="s">
        <v>977</v>
      </c>
      <c r="H757" s="21"/>
      <c r="I757" s="8">
        <v>25000</v>
      </c>
      <c r="J757" s="8">
        <v>0</v>
      </c>
      <c r="K757" s="12" t="s">
        <v>71</v>
      </c>
      <c r="L757">
        <f t="shared" si="56"/>
        <v>2</v>
      </c>
      <c r="M757">
        <f t="shared" ca="1" si="59"/>
        <v>456</v>
      </c>
      <c r="N757" s="15">
        <f t="shared" si="57"/>
        <v>25000</v>
      </c>
      <c r="O757" t="str">
        <f t="shared" ca="1" si="58"/>
        <v>90+ Days</v>
      </c>
    </row>
    <row r="758" spans="1:15" x14ac:dyDescent="0.3">
      <c r="A758" s="2" t="s">
        <v>1278</v>
      </c>
      <c r="B758" s="3" t="s">
        <v>449</v>
      </c>
      <c r="C758" s="2" t="s">
        <v>12</v>
      </c>
      <c r="D758" s="2" t="str">
        <f t="shared" si="55"/>
        <v>Jun</v>
      </c>
      <c r="E758" s="24" t="s">
        <v>350</v>
      </c>
      <c r="F758" s="20" t="s">
        <v>43</v>
      </c>
      <c r="G758" s="20" t="s">
        <v>991</v>
      </c>
      <c r="H758" s="20" t="s">
        <v>353</v>
      </c>
      <c r="I758" s="4">
        <v>25000</v>
      </c>
      <c r="J758" s="4">
        <v>25000</v>
      </c>
      <c r="K758" s="5" t="s">
        <v>17</v>
      </c>
      <c r="L758">
        <f t="shared" si="56"/>
        <v>3</v>
      </c>
      <c r="M758">
        <f t="shared" ca="1" si="59"/>
        <v>6</v>
      </c>
      <c r="N758" s="15">
        <f t="shared" si="57"/>
        <v>0</v>
      </c>
      <c r="O758" t="str">
        <f t="shared" ca="1" si="58"/>
        <v>0-30 Days</v>
      </c>
    </row>
    <row r="759" spans="1:15" x14ac:dyDescent="0.3">
      <c r="A759" s="6" t="s">
        <v>1279</v>
      </c>
      <c r="B759" s="7" t="s">
        <v>572</v>
      </c>
      <c r="C759" s="6" t="s">
        <v>26</v>
      </c>
      <c r="D759" s="2" t="str">
        <f t="shared" si="55"/>
        <v>Aug</v>
      </c>
      <c r="E759" s="25" t="s">
        <v>445</v>
      </c>
      <c r="F759" s="21" t="s">
        <v>157</v>
      </c>
      <c r="G759" s="21" t="s">
        <v>158</v>
      </c>
      <c r="H759" s="21"/>
      <c r="I759" s="8">
        <v>30000</v>
      </c>
      <c r="J759" s="8">
        <v>0</v>
      </c>
      <c r="K759" s="12" t="s">
        <v>71</v>
      </c>
      <c r="L759">
        <f t="shared" si="56"/>
        <v>2</v>
      </c>
      <c r="M759">
        <f t="shared" ca="1" si="59"/>
        <v>298</v>
      </c>
      <c r="N759" s="15">
        <f t="shared" si="57"/>
        <v>30000</v>
      </c>
      <c r="O759" t="str">
        <f t="shared" ca="1" si="58"/>
        <v>90+ Days</v>
      </c>
    </row>
    <row r="760" spans="1:15" x14ac:dyDescent="0.3">
      <c r="A760" s="2" t="s">
        <v>1280</v>
      </c>
      <c r="B760" s="3" t="s">
        <v>186</v>
      </c>
      <c r="C760" s="2" t="s">
        <v>26</v>
      </c>
      <c r="D760" s="2" t="str">
        <f t="shared" si="55"/>
        <v>Oct</v>
      </c>
      <c r="E760" s="24" t="s">
        <v>307</v>
      </c>
      <c r="F760" s="20" t="s">
        <v>273</v>
      </c>
      <c r="G760" s="20" t="s">
        <v>441</v>
      </c>
      <c r="H760" s="20"/>
      <c r="I760" s="4">
        <v>35000</v>
      </c>
      <c r="J760" s="4">
        <v>0</v>
      </c>
      <c r="K760" s="12" t="s">
        <v>71</v>
      </c>
      <c r="L760">
        <f t="shared" si="56"/>
        <v>1</v>
      </c>
      <c r="M760">
        <f t="shared" ca="1" si="59"/>
        <v>235</v>
      </c>
      <c r="N760" s="15">
        <f t="shared" si="57"/>
        <v>35000</v>
      </c>
      <c r="O760" t="str">
        <f t="shared" ca="1" si="58"/>
        <v>90+ Days</v>
      </c>
    </row>
    <row r="761" spans="1:15" x14ac:dyDescent="0.3">
      <c r="A761" s="6" t="s">
        <v>1281</v>
      </c>
      <c r="B761" s="7" t="s">
        <v>718</v>
      </c>
      <c r="C761" s="6" t="s">
        <v>12</v>
      </c>
      <c r="D761" s="2" t="str">
        <f t="shared" si="55"/>
        <v>Feb</v>
      </c>
      <c r="E761" s="25" t="s">
        <v>358</v>
      </c>
      <c r="F761" s="21" t="s">
        <v>29</v>
      </c>
      <c r="G761" s="21" t="s">
        <v>181</v>
      </c>
      <c r="H761" s="21" t="s">
        <v>381</v>
      </c>
      <c r="I761" s="8">
        <v>18000</v>
      </c>
      <c r="J761" s="8">
        <v>18000</v>
      </c>
      <c r="K761" s="9" t="s">
        <v>45</v>
      </c>
      <c r="L761">
        <f t="shared" si="56"/>
        <v>1</v>
      </c>
      <c r="M761">
        <f t="shared" ca="1" si="59"/>
        <v>43</v>
      </c>
      <c r="N761" s="15">
        <f t="shared" si="57"/>
        <v>0</v>
      </c>
      <c r="O761" t="str">
        <f t="shared" ca="1" si="58"/>
        <v>31-60 Days</v>
      </c>
    </row>
    <row r="762" spans="1:15" x14ac:dyDescent="0.3">
      <c r="A762" s="2" t="s">
        <v>1282</v>
      </c>
      <c r="B762" s="3" t="s">
        <v>124</v>
      </c>
      <c r="C762" s="2" t="s">
        <v>12</v>
      </c>
      <c r="D762" s="2" t="str">
        <f t="shared" si="55"/>
        <v>Sep</v>
      </c>
      <c r="E762" s="24" t="s">
        <v>88</v>
      </c>
      <c r="F762" s="20" t="s">
        <v>399</v>
      </c>
      <c r="G762" s="20" t="s">
        <v>400</v>
      </c>
      <c r="H762" s="20" t="s">
        <v>117</v>
      </c>
      <c r="I762" s="4">
        <v>5000</v>
      </c>
      <c r="J762" s="4">
        <v>5000</v>
      </c>
      <c r="K762" s="5" t="s">
        <v>17</v>
      </c>
      <c r="L762">
        <f t="shared" si="56"/>
        <v>2</v>
      </c>
      <c r="M762">
        <f t="shared" ca="1" si="59"/>
        <v>11</v>
      </c>
      <c r="N762" s="15">
        <f t="shared" si="57"/>
        <v>0</v>
      </c>
      <c r="O762" t="str">
        <f t="shared" ca="1" si="58"/>
        <v>0-30 Days</v>
      </c>
    </row>
    <row r="763" spans="1:15" x14ac:dyDescent="0.3">
      <c r="A763" s="6" t="s">
        <v>1283</v>
      </c>
      <c r="B763" s="7" t="s">
        <v>59</v>
      </c>
      <c r="C763" s="6" t="s">
        <v>12</v>
      </c>
      <c r="D763" s="2" t="str">
        <f t="shared" si="55"/>
        <v>Jul</v>
      </c>
      <c r="E763" s="25" t="s">
        <v>86</v>
      </c>
      <c r="F763" s="21" t="s">
        <v>747</v>
      </c>
      <c r="G763" s="21" t="s">
        <v>699</v>
      </c>
      <c r="H763" s="21"/>
      <c r="I763" s="8">
        <v>75000</v>
      </c>
      <c r="J763" s="8">
        <v>0</v>
      </c>
      <c r="K763" s="12" t="s">
        <v>71</v>
      </c>
      <c r="L763">
        <f t="shared" si="56"/>
        <v>1</v>
      </c>
      <c r="M763">
        <f t="shared" ca="1" si="59"/>
        <v>339</v>
      </c>
      <c r="N763" s="15">
        <f t="shared" si="57"/>
        <v>75000</v>
      </c>
      <c r="O763" t="str">
        <f t="shared" ca="1" si="58"/>
        <v>90+ Days</v>
      </c>
    </row>
    <row r="764" spans="1:15" x14ac:dyDescent="0.3">
      <c r="A764" s="2" t="s">
        <v>1284</v>
      </c>
      <c r="B764" s="3" t="s">
        <v>906</v>
      </c>
      <c r="C764" s="2" t="s">
        <v>33</v>
      </c>
      <c r="D764" s="2" t="str">
        <f t="shared" si="55"/>
        <v>Apr</v>
      </c>
      <c r="E764" s="24" t="s">
        <v>51</v>
      </c>
      <c r="F764" s="20" t="s">
        <v>222</v>
      </c>
      <c r="G764" s="20" t="s">
        <v>223</v>
      </c>
      <c r="H764" s="20" t="s">
        <v>151</v>
      </c>
      <c r="I764" s="4">
        <v>5000</v>
      </c>
      <c r="J764" s="4">
        <v>5000</v>
      </c>
      <c r="K764" s="9" t="s">
        <v>45</v>
      </c>
      <c r="L764">
        <f t="shared" si="56"/>
        <v>1</v>
      </c>
      <c r="M764">
        <f t="shared" ca="1" si="59"/>
        <v>38</v>
      </c>
      <c r="N764" s="15">
        <f t="shared" si="57"/>
        <v>0</v>
      </c>
      <c r="O764" t="str">
        <f t="shared" ca="1" si="58"/>
        <v>31-60 Days</v>
      </c>
    </row>
    <row r="765" spans="1:15" x14ac:dyDescent="0.3">
      <c r="A765" s="6" t="s">
        <v>1285</v>
      </c>
      <c r="B765" s="7" t="s">
        <v>198</v>
      </c>
      <c r="C765" s="6" t="s">
        <v>26</v>
      </c>
      <c r="D765" s="2" t="str">
        <f t="shared" si="55"/>
        <v>Dec</v>
      </c>
      <c r="E765" s="25" t="s">
        <v>99</v>
      </c>
      <c r="F765" s="21" t="s">
        <v>579</v>
      </c>
      <c r="G765" s="21" t="s">
        <v>788</v>
      </c>
      <c r="H765" s="21" t="s">
        <v>371</v>
      </c>
      <c r="I765" s="8">
        <v>60000</v>
      </c>
      <c r="J765" s="8">
        <v>60000</v>
      </c>
      <c r="K765" s="5" t="s">
        <v>17</v>
      </c>
      <c r="L765">
        <f t="shared" si="56"/>
        <v>2</v>
      </c>
      <c r="M765">
        <f t="shared" ca="1" si="59"/>
        <v>17</v>
      </c>
      <c r="N765" s="15">
        <f t="shared" si="57"/>
        <v>0</v>
      </c>
      <c r="O765" t="str">
        <f t="shared" ca="1" si="58"/>
        <v>0-30 Days</v>
      </c>
    </row>
    <row r="766" spans="1:15" x14ac:dyDescent="0.3">
      <c r="A766" s="2" t="s">
        <v>1286</v>
      </c>
      <c r="B766" s="3" t="s">
        <v>293</v>
      </c>
      <c r="C766" s="2" t="s">
        <v>12</v>
      </c>
      <c r="D766" s="2" t="str">
        <f t="shared" si="55"/>
        <v>Oct</v>
      </c>
      <c r="E766" s="24" t="s">
        <v>215</v>
      </c>
      <c r="F766" s="20" t="s">
        <v>184</v>
      </c>
      <c r="G766" s="20" t="s">
        <v>465</v>
      </c>
      <c r="H766" s="20" t="s">
        <v>128</v>
      </c>
      <c r="I766" s="4">
        <v>25000</v>
      </c>
      <c r="J766" s="4">
        <v>25000</v>
      </c>
      <c r="K766" s="5" t="s">
        <v>17</v>
      </c>
      <c r="L766">
        <f t="shared" si="56"/>
        <v>2</v>
      </c>
      <c r="M766">
        <f t="shared" ca="1" si="59"/>
        <v>6</v>
      </c>
      <c r="N766" s="15">
        <f t="shared" si="57"/>
        <v>0</v>
      </c>
      <c r="O766" t="str">
        <f t="shared" ca="1" si="58"/>
        <v>0-30 Days</v>
      </c>
    </row>
    <row r="767" spans="1:15" x14ac:dyDescent="0.3">
      <c r="A767" s="6" t="s">
        <v>1287</v>
      </c>
      <c r="B767" s="7" t="s">
        <v>165</v>
      </c>
      <c r="C767" s="6" t="s">
        <v>26</v>
      </c>
      <c r="D767" s="2" t="str">
        <f t="shared" si="55"/>
        <v>May</v>
      </c>
      <c r="E767" s="25" t="s">
        <v>210</v>
      </c>
      <c r="F767" s="21" t="s">
        <v>506</v>
      </c>
      <c r="G767" s="21" t="s">
        <v>712</v>
      </c>
      <c r="H767" s="21" t="s">
        <v>86</v>
      </c>
      <c r="I767" s="8">
        <v>45000</v>
      </c>
      <c r="J767" s="8">
        <v>45000</v>
      </c>
      <c r="K767" s="9" t="s">
        <v>45</v>
      </c>
      <c r="L767">
        <f t="shared" si="56"/>
        <v>2</v>
      </c>
      <c r="M767">
        <f t="shared" ca="1" si="59"/>
        <v>41</v>
      </c>
      <c r="N767" s="15">
        <f t="shared" si="57"/>
        <v>0</v>
      </c>
      <c r="O767" t="str">
        <f t="shared" ca="1" si="58"/>
        <v>31-60 Days</v>
      </c>
    </row>
    <row r="768" spans="1:15" x14ac:dyDescent="0.3">
      <c r="A768" s="2" t="s">
        <v>1288</v>
      </c>
      <c r="B768" s="3" t="s">
        <v>361</v>
      </c>
      <c r="C768" s="2" t="s">
        <v>12</v>
      </c>
      <c r="D768" s="2" t="str">
        <f t="shared" si="55"/>
        <v>Dec</v>
      </c>
      <c r="E768" s="24" t="s">
        <v>146</v>
      </c>
      <c r="F768" s="20" t="s">
        <v>98</v>
      </c>
      <c r="G768" s="20" t="s">
        <v>530</v>
      </c>
      <c r="H768" s="20"/>
      <c r="I768" s="4">
        <v>75000</v>
      </c>
      <c r="J768" s="4">
        <v>0</v>
      </c>
      <c r="K768" s="11" t="s">
        <v>63</v>
      </c>
      <c r="L768">
        <f t="shared" si="56"/>
        <v>1</v>
      </c>
      <c r="M768">
        <f t="shared" ca="1" si="59"/>
        <v>179</v>
      </c>
      <c r="N768" s="15">
        <f t="shared" si="57"/>
        <v>75000</v>
      </c>
      <c r="O768" t="str">
        <f t="shared" ca="1" si="58"/>
        <v>90+ Days</v>
      </c>
    </row>
    <row r="769" spans="1:15" x14ac:dyDescent="0.3">
      <c r="A769" s="6" t="s">
        <v>1289</v>
      </c>
      <c r="B769" s="7" t="s">
        <v>449</v>
      </c>
      <c r="C769" s="6" t="s">
        <v>12</v>
      </c>
      <c r="D769" s="2" t="str">
        <f t="shared" si="55"/>
        <v>Jul</v>
      </c>
      <c r="E769" s="25" t="s">
        <v>54</v>
      </c>
      <c r="F769" s="21" t="s">
        <v>44</v>
      </c>
      <c r="G769" s="21" t="s">
        <v>333</v>
      </c>
      <c r="H769" s="21"/>
      <c r="I769" s="8">
        <v>25000</v>
      </c>
      <c r="J769" s="8">
        <v>0</v>
      </c>
      <c r="K769" s="11" t="s">
        <v>63</v>
      </c>
      <c r="L769">
        <f t="shared" si="56"/>
        <v>1</v>
      </c>
      <c r="M769">
        <f t="shared" ca="1" si="59"/>
        <v>347</v>
      </c>
      <c r="N769" s="15">
        <f t="shared" si="57"/>
        <v>25000</v>
      </c>
      <c r="O769" t="str">
        <f t="shared" ca="1" si="58"/>
        <v>90+ Days</v>
      </c>
    </row>
    <row r="770" spans="1:15" x14ac:dyDescent="0.3">
      <c r="A770" s="2" t="s">
        <v>1290</v>
      </c>
      <c r="B770" s="3" t="s">
        <v>108</v>
      </c>
      <c r="C770" s="2" t="s">
        <v>12</v>
      </c>
      <c r="D770" s="2" t="str">
        <f t="shared" si="55"/>
        <v>Jan</v>
      </c>
      <c r="E770" s="24" t="s">
        <v>462</v>
      </c>
      <c r="F770" s="20" t="s">
        <v>920</v>
      </c>
      <c r="G770" s="20" t="s">
        <v>30</v>
      </c>
      <c r="H770" s="20"/>
      <c r="I770" s="4">
        <v>40000</v>
      </c>
      <c r="J770" s="4">
        <v>0</v>
      </c>
      <c r="K770" s="12" t="s">
        <v>71</v>
      </c>
      <c r="L770">
        <f t="shared" si="56"/>
        <v>1</v>
      </c>
      <c r="M770">
        <f t="shared" ca="1" si="59"/>
        <v>521</v>
      </c>
      <c r="N770" s="15">
        <f t="shared" si="57"/>
        <v>40000</v>
      </c>
      <c r="O770" t="str">
        <f t="shared" ca="1" si="58"/>
        <v>90+ Days</v>
      </c>
    </row>
    <row r="771" spans="1:15" x14ac:dyDescent="0.3">
      <c r="A771" s="6" t="s">
        <v>1291</v>
      </c>
      <c r="B771" s="7" t="s">
        <v>285</v>
      </c>
      <c r="C771" s="6" t="s">
        <v>12</v>
      </c>
      <c r="D771" s="2" t="str">
        <f t="shared" ref="D771:D834" si="60">MID(E771, 4, 3)</f>
        <v>Apr</v>
      </c>
      <c r="E771" s="25" t="s">
        <v>498</v>
      </c>
      <c r="F771" s="21" t="s">
        <v>435</v>
      </c>
      <c r="G771" s="21" t="s">
        <v>425</v>
      </c>
      <c r="H771" s="21" t="s">
        <v>386</v>
      </c>
      <c r="I771" s="8">
        <v>5000</v>
      </c>
      <c r="J771" s="8">
        <v>5000</v>
      </c>
      <c r="K771" s="9" t="s">
        <v>45</v>
      </c>
      <c r="L771">
        <f t="shared" ref="L771:L834" si="61">F771-E771</f>
        <v>3</v>
      </c>
      <c r="M771">
        <f t="shared" ca="1" si="59"/>
        <v>36</v>
      </c>
      <c r="N771" s="15">
        <f t="shared" ref="N771:N834" si="62">I771-J771</f>
        <v>0</v>
      </c>
      <c r="O771" t="str">
        <f t="shared" ref="O771:O834" ca="1" si="63">IF(M771&lt;=30,"0-30 Days",
IF(M771&lt;=60,"31-60 Days",
IF(M771&lt;=90,"61-90 Days","90+ Days")))</f>
        <v>31-60 Days</v>
      </c>
    </row>
    <row r="772" spans="1:15" x14ac:dyDescent="0.3">
      <c r="A772" s="2" t="s">
        <v>1292</v>
      </c>
      <c r="B772" s="3" t="s">
        <v>702</v>
      </c>
      <c r="C772" s="2" t="s">
        <v>40</v>
      </c>
      <c r="D772" s="2" t="str">
        <f t="shared" si="60"/>
        <v>Jul</v>
      </c>
      <c r="E772" s="24" t="s">
        <v>348</v>
      </c>
      <c r="F772" s="20" t="s">
        <v>475</v>
      </c>
      <c r="G772" s="20" t="s">
        <v>480</v>
      </c>
      <c r="H772" s="20" t="s">
        <v>56</v>
      </c>
      <c r="I772" s="4">
        <v>8000</v>
      </c>
      <c r="J772" s="4">
        <v>8000</v>
      </c>
      <c r="K772" s="5" t="s">
        <v>17</v>
      </c>
      <c r="L772">
        <f t="shared" si="61"/>
        <v>3</v>
      </c>
      <c r="M772">
        <f t="shared" ref="M772:M835" ca="1" si="64">IF(H772="",TODAY()-F772,H772-F772)</f>
        <v>25</v>
      </c>
      <c r="N772" s="15">
        <f t="shared" si="62"/>
        <v>0</v>
      </c>
      <c r="O772" t="str">
        <f t="shared" ca="1" si="63"/>
        <v>0-30 Days</v>
      </c>
    </row>
    <row r="773" spans="1:15" x14ac:dyDescent="0.3">
      <c r="A773" s="6" t="s">
        <v>1293</v>
      </c>
      <c r="B773" s="7" t="s">
        <v>570</v>
      </c>
      <c r="C773" s="6" t="s">
        <v>33</v>
      </c>
      <c r="D773" s="2" t="str">
        <f t="shared" si="60"/>
        <v>Oct</v>
      </c>
      <c r="E773" s="25" t="s">
        <v>183</v>
      </c>
      <c r="F773" s="21" t="s">
        <v>400</v>
      </c>
      <c r="G773" s="21" t="s">
        <v>557</v>
      </c>
      <c r="H773" s="21" t="s">
        <v>447</v>
      </c>
      <c r="I773" s="8">
        <v>8000</v>
      </c>
      <c r="J773" s="8">
        <v>8000</v>
      </c>
      <c r="K773" s="9" t="s">
        <v>45</v>
      </c>
      <c r="L773">
        <f t="shared" si="61"/>
        <v>3</v>
      </c>
      <c r="M773">
        <f t="shared" ca="1" si="64"/>
        <v>32</v>
      </c>
      <c r="N773" s="15">
        <f t="shared" si="62"/>
        <v>0</v>
      </c>
      <c r="O773" t="str">
        <f t="shared" ca="1" si="63"/>
        <v>31-60 Days</v>
      </c>
    </row>
    <row r="774" spans="1:15" x14ac:dyDescent="0.3">
      <c r="A774" s="2" t="s">
        <v>1294</v>
      </c>
      <c r="B774" s="3" t="s">
        <v>277</v>
      </c>
      <c r="C774" s="2" t="s">
        <v>12</v>
      </c>
      <c r="D774" s="2" t="str">
        <f t="shared" si="60"/>
        <v>Feb</v>
      </c>
      <c r="E774" s="24" t="s">
        <v>21</v>
      </c>
      <c r="F774" s="20" t="s">
        <v>14</v>
      </c>
      <c r="G774" s="20" t="s">
        <v>15</v>
      </c>
      <c r="H774" s="20" t="s">
        <v>681</v>
      </c>
      <c r="I774" s="4">
        <v>5000</v>
      </c>
      <c r="J774" s="4">
        <v>5000</v>
      </c>
      <c r="K774" s="5" t="s">
        <v>17</v>
      </c>
      <c r="L774">
        <f t="shared" si="61"/>
        <v>3</v>
      </c>
      <c r="M774">
        <f t="shared" ca="1" si="64"/>
        <v>8</v>
      </c>
      <c r="N774" s="15">
        <f t="shared" si="62"/>
        <v>0</v>
      </c>
      <c r="O774" t="str">
        <f t="shared" ca="1" si="63"/>
        <v>0-30 Days</v>
      </c>
    </row>
    <row r="775" spans="1:15" x14ac:dyDescent="0.3">
      <c r="A775" s="6" t="s">
        <v>1295</v>
      </c>
      <c r="B775" s="7" t="s">
        <v>482</v>
      </c>
      <c r="C775" s="6" t="s">
        <v>26</v>
      </c>
      <c r="D775" s="2" t="str">
        <f t="shared" si="60"/>
        <v>Aug</v>
      </c>
      <c r="E775" s="25" t="s">
        <v>555</v>
      </c>
      <c r="F775" s="21" t="s">
        <v>321</v>
      </c>
      <c r="G775" s="21" t="s">
        <v>322</v>
      </c>
      <c r="H775" s="21" t="s">
        <v>617</v>
      </c>
      <c r="I775" s="8">
        <v>15000</v>
      </c>
      <c r="J775" s="8">
        <v>15000</v>
      </c>
      <c r="K775" s="5" t="s">
        <v>17</v>
      </c>
      <c r="L775">
        <f t="shared" si="61"/>
        <v>2</v>
      </c>
      <c r="M775">
        <f t="shared" ca="1" si="64"/>
        <v>20</v>
      </c>
      <c r="N775" s="15">
        <f t="shared" si="62"/>
        <v>0</v>
      </c>
      <c r="O775" t="str">
        <f t="shared" ca="1" si="63"/>
        <v>0-30 Days</v>
      </c>
    </row>
    <row r="776" spans="1:15" x14ac:dyDescent="0.3">
      <c r="A776" s="2" t="s">
        <v>1296</v>
      </c>
      <c r="B776" s="3" t="s">
        <v>553</v>
      </c>
      <c r="C776" s="2" t="s">
        <v>12</v>
      </c>
      <c r="D776" s="2" t="str">
        <f t="shared" si="60"/>
        <v>Mar</v>
      </c>
      <c r="E776" s="24" t="s">
        <v>249</v>
      </c>
      <c r="F776" s="20" t="s">
        <v>48</v>
      </c>
      <c r="G776" s="20" t="s">
        <v>539</v>
      </c>
      <c r="H776" s="20" t="s">
        <v>977</v>
      </c>
      <c r="I776" s="4">
        <v>5000</v>
      </c>
      <c r="J776" s="4">
        <v>5000</v>
      </c>
      <c r="K776" s="5" t="s">
        <v>17</v>
      </c>
      <c r="L776">
        <f t="shared" si="61"/>
        <v>1</v>
      </c>
      <c r="M776">
        <f t="shared" ca="1" si="64"/>
        <v>26</v>
      </c>
      <c r="N776" s="15">
        <f t="shared" si="62"/>
        <v>0</v>
      </c>
      <c r="O776" t="str">
        <f t="shared" ca="1" si="63"/>
        <v>0-30 Days</v>
      </c>
    </row>
    <row r="777" spans="1:15" x14ac:dyDescent="0.3">
      <c r="A777" s="6" t="s">
        <v>1297</v>
      </c>
      <c r="B777" s="7" t="s">
        <v>53</v>
      </c>
      <c r="C777" s="6" t="s">
        <v>40</v>
      </c>
      <c r="D777" s="2" t="str">
        <f t="shared" si="60"/>
        <v>Dec</v>
      </c>
      <c r="E777" s="25" t="s">
        <v>75</v>
      </c>
      <c r="F777" s="21" t="s">
        <v>281</v>
      </c>
      <c r="G777" s="21" t="s">
        <v>394</v>
      </c>
      <c r="H777" s="21" t="s">
        <v>1065</v>
      </c>
      <c r="I777" s="8">
        <v>50000</v>
      </c>
      <c r="J777" s="8">
        <v>50000</v>
      </c>
      <c r="K777" s="9" t="s">
        <v>45</v>
      </c>
      <c r="L777">
        <f t="shared" si="61"/>
        <v>3</v>
      </c>
      <c r="M777">
        <f t="shared" ca="1" si="64"/>
        <v>53</v>
      </c>
      <c r="N777" s="15">
        <f t="shared" si="62"/>
        <v>0</v>
      </c>
      <c r="O777" t="str">
        <f t="shared" ca="1" si="63"/>
        <v>31-60 Days</v>
      </c>
    </row>
    <row r="778" spans="1:15" x14ac:dyDescent="0.3">
      <c r="A778" s="2" t="s">
        <v>1298</v>
      </c>
      <c r="B778" s="3" t="s">
        <v>457</v>
      </c>
      <c r="C778" s="2" t="s">
        <v>40</v>
      </c>
      <c r="D778" s="2" t="str">
        <f t="shared" si="60"/>
        <v>Aug</v>
      </c>
      <c r="E778" s="24" t="s">
        <v>333</v>
      </c>
      <c r="F778" s="20" t="s">
        <v>56</v>
      </c>
      <c r="G778" s="20" t="s">
        <v>542</v>
      </c>
      <c r="H778" s="20"/>
      <c r="I778" s="4">
        <v>45000</v>
      </c>
      <c r="J778" s="4">
        <v>0</v>
      </c>
      <c r="K778" s="12" t="s">
        <v>71</v>
      </c>
      <c r="L778">
        <f t="shared" si="61"/>
        <v>1</v>
      </c>
      <c r="M778">
        <f t="shared" ca="1" si="64"/>
        <v>316</v>
      </c>
      <c r="N778" s="15">
        <f t="shared" si="62"/>
        <v>45000</v>
      </c>
      <c r="O778" t="str">
        <f t="shared" ca="1" si="63"/>
        <v>90+ Days</v>
      </c>
    </row>
    <row r="779" spans="1:15" x14ac:dyDescent="0.3">
      <c r="A779" s="6" t="s">
        <v>1299</v>
      </c>
      <c r="B779" s="7" t="s">
        <v>702</v>
      </c>
      <c r="C779" s="6" t="s">
        <v>40</v>
      </c>
      <c r="D779" s="2" t="str">
        <f t="shared" si="60"/>
        <v>May</v>
      </c>
      <c r="E779" s="25" t="s">
        <v>426</v>
      </c>
      <c r="F779" s="21" t="s">
        <v>842</v>
      </c>
      <c r="G779" s="21" t="s">
        <v>310</v>
      </c>
      <c r="H779" s="21" t="s">
        <v>153</v>
      </c>
      <c r="I779" s="8">
        <v>15000</v>
      </c>
      <c r="J779" s="8">
        <v>15000</v>
      </c>
      <c r="K779" s="5" t="s">
        <v>17</v>
      </c>
      <c r="L779">
        <f t="shared" si="61"/>
        <v>1</v>
      </c>
      <c r="M779">
        <f t="shared" ca="1" si="64"/>
        <v>24</v>
      </c>
      <c r="N779" s="15">
        <f t="shared" si="62"/>
        <v>0</v>
      </c>
      <c r="O779" t="str">
        <f t="shared" ca="1" si="63"/>
        <v>0-30 Days</v>
      </c>
    </row>
    <row r="780" spans="1:15" x14ac:dyDescent="0.3">
      <c r="A780" s="2" t="s">
        <v>1300</v>
      </c>
      <c r="B780" s="3" t="s">
        <v>780</v>
      </c>
      <c r="C780" s="2" t="s">
        <v>26</v>
      </c>
      <c r="D780" s="2" t="str">
        <f t="shared" si="60"/>
        <v>May</v>
      </c>
      <c r="E780" s="24" t="s">
        <v>1144</v>
      </c>
      <c r="F780" s="20" t="s">
        <v>109</v>
      </c>
      <c r="G780" s="20" t="s">
        <v>661</v>
      </c>
      <c r="H780" s="20" t="s">
        <v>560</v>
      </c>
      <c r="I780" s="4">
        <v>30000</v>
      </c>
      <c r="J780" s="4">
        <v>30000</v>
      </c>
      <c r="K780" s="5" t="s">
        <v>17</v>
      </c>
      <c r="L780">
        <f t="shared" si="61"/>
        <v>3</v>
      </c>
      <c r="M780">
        <f t="shared" ca="1" si="64"/>
        <v>18</v>
      </c>
      <c r="N780" s="15">
        <f t="shared" si="62"/>
        <v>0</v>
      </c>
      <c r="O780" t="str">
        <f t="shared" ca="1" si="63"/>
        <v>0-30 Days</v>
      </c>
    </row>
    <row r="781" spans="1:15" x14ac:dyDescent="0.3">
      <c r="A781" s="6" t="s">
        <v>1301</v>
      </c>
      <c r="B781" s="7" t="s">
        <v>378</v>
      </c>
      <c r="C781" s="6" t="s">
        <v>12</v>
      </c>
      <c r="D781" s="2" t="str">
        <f t="shared" si="60"/>
        <v>Mar</v>
      </c>
      <c r="E781" s="25" t="s">
        <v>298</v>
      </c>
      <c r="F781" s="21" t="s">
        <v>81</v>
      </c>
      <c r="G781" s="21" t="s">
        <v>205</v>
      </c>
      <c r="H781" s="21" t="s">
        <v>162</v>
      </c>
      <c r="I781" s="8">
        <v>55000</v>
      </c>
      <c r="J781" s="8">
        <v>55000</v>
      </c>
      <c r="K781" s="5" t="s">
        <v>17</v>
      </c>
      <c r="L781">
        <f t="shared" si="61"/>
        <v>1</v>
      </c>
      <c r="M781">
        <f t="shared" ca="1" si="64"/>
        <v>11</v>
      </c>
      <c r="N781" s="15">
        <f t="shared" si="62"/>
        <v>0</v>
      </c>
      <c r="O781" t="str">
        <f t="shared" ca="1" si="63"/>
        <v>0-30 Days</v>
      </c>
    </row>
    <row r="782" spans="1:15" x14ac:dyDescent="0.3">
      <c r="A782" s="2" t="s">
        <v>1302</v>
      </c>
      <c r="B782" s="3" t="s">
        <v>434</v>
      </c>
      <c r="C782" s="2" t="s">
        <v>12</v>
      </c>
      <c r="D782" s="2" t="str">
        <f t="shared" si="60"/>
        <v>Sep</v>
      </c>
      <c r="E782" s="24" t="s">
        <v>399</v>
      </c>
      <c r="F782" s="20" t="s">
        <v>291</v>
      </c>
      <c r="G782" s="20" t="s">
        <v>647</v>
      </c>
      <c r="H782" s="20" t="s">
        <v>416</v>
      </c>
      <c r="I782" s="4">
        <v>40000</v>
      </c>
      <c r="J782" s="4">
        <v>40000</v>
      </c>
      <c r="K782" s="5" t="s">
        <v>17</v>
      </c>
      <c r="L782">
        <f t="shared" si="61"/>
        <v>2</v>
      </c>
      <c r="M782">
        <f t="shared" ca="1" si="64"/>
        <v>26</v>
      </c>
      <c r="N782" s="15">
        <f t="shared" si="62"/>
        <v>0</v>
      </c>
      <c r="O782" t="str">
        <f t="shared" ca="1" si="63"/>
        <v>0-30 Days</v>
      </c>
    </row>
    <row r="783" spans="1:15" x14ac:dyDescent="0.3">
      <c r="A783" s="6" t="s">
        <v>1303</v>
      </c>
      <c r="B783" s="7" t="s">
        <v>492</v>
      </c>
      <c r="C783" s="6" t="s">
        <v>26</v>
      </c>
      <c r="D783" s="2" t="str">
        <f t="shared" si="60"/>
        <v>Feb</v>
      </c>
      <c r="E783" s="25" t="s">
        <v>503</v>
      </c>
      <c r="F783" s="21" t="s">
        <v>106</v>
      </c>
      <c r="G783" s="21" t="s">
        <v>381</v>
      </c>
      <c r="H783" s="21" t="s">
        <v>681</v>
      </c>
      <c r="I783" s="8">
        <v>35000</v>
      </c>
      <c r="J783" s="8">
        <v>35000</v>
      </c>
      <c r="K783" s="5" t="s">
        <v>17</v>
      </c>
      <c r="L783">
        <f t="shared" si="61"/>
        <v>3</v>
      </c>
      <c r="M783">
        <f t="shared" ca="1" si="64"/>
        <v>7</v>
      </c>
      <c r="N783" s="15">
        <f t="shared" si="62"/>
        <v>0</v>
      </c>
      <c r="O783" t="str">
        <f t="shared" ca="1" si="63"/>
        <v>0-30 Days</v>
      </c>
    </row>
    <row r="784" spans="1:15" x14ac:dyDescent="0.3">
      <c r="A784" s="2" t="s">
        <v>1304</v>
      </c>
      <c r="B784" s="3" t="s">
        <v>718</v>
      </c>
      <c r="C784" s="2" t="s">
        <v>12</v>
      </c>
      <c r="D784" s="2" t="str">
        <f t="shared" si="60"/>
        <v>Sep</v>
      </c>
      <c r="E784" s="24" t="s">
        <v>375</v>
      </c>
      <c r="F784" s="20" t="s">
        <v>535</v>
      </c>
      <c r="G784" s="20" t="s">
        <v>602</v>
      </c>
      <c r="H784" s="20" t="s">
        <v>243</v>
      </c>
      <c r="I784" s="4">
        <v>15000</v>
      </c>
      <c r="J784" s="4">
        <v>7500</v>
      </c>
      <c r="K784" s="13" t="s">
        <v>113</v>
      </c>
      <c r="L784">
        <f t="shared" si="61"/>
        <v>1</v>
      </c>
      <c r="M784">
        <f t="shared" ca="1" si="64"/>
        <v>19</v>
      </c>
      <c r="N784" s="15">
        <f t="shared" si="62"/>
        <v>7500</v>
      </c>
      <c r="O784" t="str">
        <f t="shared" ca="1" si="63"/>
        <v>0-30 Days</v>
      </c>
    </row>
    <row r="785" spans="1:15" x14ac:dyDescent="0.3">
      <c r="A785" s="6" t="s">
        <v>1305</v>
      </c>
      <c r="B785" s="7" t="s">
        <v>378</v>
      </c>
      <c r="C785" s="6" t="s">
        <v>12</v>
      </c>
      <c r="D785" s="2" t="str">
        <f t="shared" si="60"/>
        <v>May</v>
      </c>
      <c r="E785" s="25" t="s">
        <v>187</v>
      </c>
      <c r="F785" s="21" t="s">
        <v>109</v>
      </c>
      <c r="G785" s="21" t="s">
        <v>661</v>
      </c>
      <c r="H785" s="21" t="s">
        <v>386</v>
      </c>
      <c r="I785" s="8">
        <v>8000</v>
      </c>
      <c r="J785" s="8">
        <v>8000</v>
      </c>
      <c r="K785" s="5" t="s">
        <v>17</v>
      </c>
      <c r="L785">
        <f t="shared" si="61"/>
        <v>2</v>
      </c>
      <c r="M785">
        <f t="shared" ca="1" si="64"/>
        <v>10</v>
      </c>
      <c r="N785" s="15">
        <f t="shared" si="62"/>
        <v>0</v>
      </c>
      <c r="O785" t="str">
        <f t="shared" ca="1" si="63"/>
        <v>0-30 Days</v>
      </c>
    </row>
    <row r="786" spans="1:15" x14ac:dyDescent="0.3">
      <c r="A786" s="2" t="s">
        <v>1306</v>
      </c>
      <c r="B786" s="3" t="s">
        <v>73</v>
      </c>
      <c r="C786" s="2" t="s">
        <v>26</v>
      </c>
      <c r="D786" s="2" t="str">
        <f t="shared" si="60"/>
        <v>May</v>
      </c>
      <c r="E786" s="24" t="s">
        <v>210</v>
      </c>
      <c r="F786" s="20" t="s">
        <v>506</v>
      </c>
      <c r="G786" s="20" t="s">
        <v>712</v>
      </c>
      <c r="H786" s="20" t="s">
        <v>177</v>
      </c>
      <c r="I786" s="4">
        <v>75000</v>
      </c>
      <c r="J786" s="4">
        <v>75000</v>
      </c>
      <c r="K786" s="5" t="s">
        <v>17</v>
      </c>
      <c r="L786">
        <f t="shared" si="61"/>
        <v>2</v>
      </c>
      <c r="M786">
        <f t="shared" ca="1" si="64"/>
        <v>8</v>
      </c>
      <c r="N786" s="15">
        <f t="shared" si="62"/>
        <v>0</v>
      </c>
      <c r="O786" t="str">
        <f t="shared" ca="1" si="63"/>
        <v>0-30 Days</v>
      </c>
    </row>
    <row r="787" spans="1:15" x14ac:dyDescent="0.3">
      <c r="A787" s="6" t="s">
        <v>1307</v>
      </c>
      <c r="B787" s="7" t="s">
        <v>53</v>
      </c>
      <c r="C787" s="6" t="s">
        <v>40</v>
      </c>
      <c r="D787" s="2" t="str">
        <f t="shared" si="60"/>
        <v>Jan</v>
      </c>
      <c r="E787" s="25" t="s">
        <v>754</v>
      </c>
      <c r="F787" s="21" t="s">
        <v>605</v>
      </c>
      <c r="G787" s="21" t="s">
        <v>606</v>
      </c>
      <c r="H787" s="21" t="s">
        <v>1070</v>
      </c>
      <c r="I787" s="8">
        <v>20000</v>
      </c>
      <c r="J787" s="8">
        <v>20000</v>
      </c>
      <c r="K787" s="9" t="s">
        <v>45</v>
      </c>
      <c r="L787">
        <f t="shared" si="61"/>
        <v>1</v>
      </c>
      <c r="M787">
        <f t="shared" ca="1" si="64"/>
        <v>36</v>
      </c>
      <c r="N787" s="15">
        <f t="shared" si="62"/>
        <v>0</v>
      </c>
      <c r="O787" t="str">
        <f t="shared" ca="1" si="63"/>
        <v>31-60 Days</v>
      </c>
    </row>
    <row r="788" spans="1:15" x14ac:dyDescent="0.3">
      <c r="A788" s="2" t="s">
        <v>1308</v>
      </c>
      <c r="B788" s="3" t="s">
        <v>339</v>
      </c>
      <c r="C788" s="2" t="s">
        <v>12</v>
      </c>
      <c r="D788" s="2" t="str">
        <f t="shared" si="60"/>
        <v>Jul</v>
      </c>
      <c r="E788" s="24" t="s">
        <v>54</v>
      </c>
      <c r="F788" s="20" t="s">
        <v>55</v>
      </c>
      <c r="G788" s="20" t="s">
        <v>56</v>
      </c>
      <c r="H788" s="20"/>
      <c r="I788" s="4">
        <v>50000</v>
      </c>
      <c r="J788" s="4">
        <v>0</v>
      </c>
      <c r="K788" s="10" t="s">
        <v>57</v>
      </c>
      <c r="L788">
        <f t="shared" si="61"/>
        <v>2</v>
      </c>
      <c r="M788">
        <f t="shared" ca="1" si="64"/>
        <v>346</v>
      </c>
      <c r="N788" s="15">
        <f t="shared" si="62"/>
        <v>50000</v>
      </c>
      <c r="O788" t="str">
        <f t="shared" ca="1" si="63"/>
        <v>90+ Days</v>
      </c>
    </row>
    <row r="789" spans="1:15" x14ac:dyDescent="0.3">
      <c r="A789" s="6" t="s">
        <v>1309</v>
      </c>
      <c r="B789" s="7" t="s">
        <v>492</v>
      </c>
      <c r="C789" s="6" t="s">
        <v>26</v>
      </c>
      <c r="D789" s="2" t="str">
        <f t="shared" si="60"/>
        <v>Jul</v>
      </c>
      <c r="E789" s="25" t="s">
        <v>475</v>
      </c>
      <c r="F789" s="21" t="s">
        <v>747</v>
      </c>
      <c r="G789" s="21" t="s">
        <v>699</v>
      </c>
      <c r="H789" s="21" t="s">
        <v>584</v>
      </c>
      <c r="I789" s="8">
        <v>25000</v>
      </c>
      <c r="J789" s="8">
        <v>25000</v>
      </c>
      <c r="K789" s="5" t="s">
        <v>17</v>
      </c>
      <c r="L789">
        <f t="shared" si="61"/>
        <v>2</v>
      </c>
      <c r="M789">
        <f t="shared" ca="1" si="64"/>
        <v>17</v>
      </c>
      <c r="N789" s="15">
        <f t="shared" si="62"/>
        <v>0</v>
      </c>
      <c r="O789" t="str">
        <f t="shared" ca="1" si="63"/>
        <v>0-30 Days</v>
      </c>
    </row>
    <row r="790" spans="1:15" x14ac:dyDescent="0.3">
      <c r="A790" s="2" t="s">
        <v>1310</v>
      </c>
      <c r="B790" s="3" t="s">
        <v>716</v>
      </c>
      <c r="C790" s="2" t="s">
        <v>12</v>
      </c>
      <c r="D790" s="2" t="str">
        <f t="shared" si="60"/>
        <v>May</v>
      </c>
      <c r="E790" s="24" t="s">
        <v>152</v>
      </c>
      <c r="F790" s="20" t="s">
        <v>425</v>
      </c>
      <c r="G790" s="20" t="s">
        <v>1132</v>
      </c>
      <c r="H790" s="20"/>
      <c r="I790" s="4">
        <v>35000</v>
      </c>
      <c r="J790" s="4">
        <v>0</v>
      </c>
      <c r="K790" s="12" t="s">
        <v>71</v>
      </c>
      <c r="L790">
        <f t="shared" si="61"/>
        <v>2</v>
      </c>
      <c r="M790">
        <f t="shared" ca="1" si="64"/>
        <v>390</v>
      </c>
      <c r="N790" s="15">
        <f t="shared" si="62"/>
        <v>35000</v>
      </c>
      <c r="O790" t="str">
        <f t="shared" ca="1" si="63"/>
        <v>90+ Days</v>
      </c>
    </row>
    <row r="791" spans="1:15" x14ac:dyDescent="0.3">
      <c r="A791" s="6" t="s">
        <v>1311</v>
      </c>
      <c r="B791" s="7" t="s">
        <v>115</v>
      </c>
      <c r="C791" s="6" t="s">
        <v>12</v>
      </c>
      <c r="D791" s="2" t="str">
        <f t="shared" si="60"/>
        <v>Mar</v>
      </c>
      <c r="E791" s="25" t="s">
        <v>22</v>
      </c>
      <c r="F791" s="21" t="s">
        <v>451</v>
      </c>
      <c r="G791" s="21" t="s">
        <v>452</v>
      </c>
      <c r="H791" s="21" t="s">
        <v>209</v>
      </c>
      <c r="I791" s="8">
        <v>20000</v>
      </c>
      <c r="J791" s="8">
        <v>20000</v>
      </c>
      <c r="K791" s="9" t="s">
        <v>45</v>
      </c>
      <c r="L791">
        <f t="shared" si="61"/>
        <v>1</v>
      </c>
      <c r="M791">
        <f t="shared" ca="1" si="64"/>
        <v>32</v>
      </c>
      <c r="N791" s="15">
        <f t="shared" si="62"/>
        <v>0</v>
      </c>
      <c r="O791" t="str">
        <f t="shared" ca="1" si="63"/>
        <v>31-60 Days</v>
      </c>
    </row>
    <row r="792" spans="1:15" x14ac:dyDescent="0.3">
      <c r="A792" s="2" t="s">
        <v>1312</v>
      </c>
      <c r="B792" s="3" t="s">
        <v>84</v>
      </c>
      <c r="C792" s="2" t="s">
        <v>12</v>
      </c>
      <c r="D792" s="2" t="str">
        <f t="shared" si="60"/>
        <v>Feb</v>
      </c>
      <c r="E792" s="24" t="s">
        <v>80</v>
      </c>
      <c r="F792" s="20" t="s">
        <v>21</v>
      </c>
      <c r="G792" s="20" t="s">
        <v>22</v>
      </c>
      <c r="H792" s="20"/>
      <c r="I792" s="4">
        <v>35000</v>
      </c>
      <c r="J792" s="4">
        <v>0</v>
      </c>
      <c r="K792" s="10" t="s">
        <v>57</v>
      </c>
      <c r="L792">
        <f t="shared" si="61"/>
        <v>2</v>
      </c>
      <c r="M792">
        <f t="shared" ca="1" si="64"/>
        <v>476</v>
      </c>
      <c r="N792" s="15">
        <f t="shared" si="62"/>
        <v>35000</v>
      </c>
      <c r="O792" t="str">
        <f t="shared" ca="1" si="63"/>
        <v>90+ Days</v>
      </c>
    </row>
    <row r="793" spans="1:15" x14ac:dyDescent="0.3">
      <c r="A793" s="6" t="s">
        <v>1313</v>
      </c>
      <c r="B793" s="7" t="s">
        <v>380</v>
      </c>
      <c r="C793" s="6" t="s">
        <v>12</v>
      </c>
      <c r="D793" s="2" t="str">
        <f t="shared" si="60"/>
        <v>Aug</v>
      </c>
      <c r="E793" s="25" t="s">
        <v>730</v>
      </c>
      <c r="F793" s="21" t="s">
        <v>815</v>
      </c>
      <c r="G793" s="21" t="s">
        <v>116</v>
      </c>
      <c r="H793" s="21"/>
      <c r="I793" s="8">
        <v>12000</v>
      </c>
      <c r="J793" s="8">
        <v>0</v>
      </c>
      <c r="K793" s="12" t="s">
        <v>71</v>
      </c>
      <c r="L793">
        <f t="shared" si="61"/>
        <v>1</v>
      </c>
      <c r="M793">
        <f t="shared" ca="1" si="64"/>
        <v>306</v>
      </c>
      <c r="N793" s="15">
        <f t="shared" si="62"/>
        <v>12000</v>
      </c>
      <c r="O793" t="str">
        <f t="shared" ca="1" si="63"/>
        <v>90+ Days</v>
      </c>
    </row>
    <row r="794" spans="1:15" x14ac:dyDescent="0.3">
      <c r="A794" s="2" t="s">
        <v>1314</v>
      </c>
      <c r="B794" s="3" t="s">
        <v>300</v>
      </c>
      <c r="C794" s="2" t="s">
        <v>12</v>
      </c>
      <c r="D794" s="2" t="str">
        <f t="shared" si="60"/>
        <v>Jan</v>
      </c>
      <c r="E794" s="24" t="s">
        <v>357</v>
      </c>
      <c r="F794" s="20" t="s">
        <v>952</v>
      </c>
      <c r="G794" s="20" t="s">
        <v>247</v>
      </c>
      <c r="H794" s="20" t="s">
        <v>638</v>
      </c>
      <c r="I794" s="4">
        <v>20000</v>
      </c>
      <c r="J794" s="4">
        <v>20000</v>
      </c>
      <c r="K794" s="5" t="s">
        <v>17</v>
      </c>
      <c r="L794">
        <f t="shared" si="61"/>
        <v>3</v>
      </c>
      <c r="M794">
        <f t="shared" ca="1" si="64"/>
        <v>20</v>
      </c>
      <c r="N794" s="15">
        <f t="shared" si="62"/>
        <v>0</v>
      </c>
      <c r="O794" t="str">
        <f t="shared" ca="1" si="63"/>
        <v>0-30 Days</v>
      </c>
    </row>
    <row r="795" spans="1:15" x14ac:dyDescent="0.3">
      <c r="A795" s="6" t="s">
        <v>1315</v>
      </c>
      <c r="B795" s="7" t="s">
        <v>587</v>
      </c>
      <c r="C795" s="6" t="s">
        <v>26</v>
      </c>
      <c r="D795" s="2" t="str">
        <f t="shared" si="60"/>
        <v>Jul</v>
      </c>
      <c r="E795" s="25" t="s">
        <v>226</v>
      </c>
      <c r="F795" s="21" t="s">
        <v>227</v>
      </c>
      <c r="G795" s="21" t="s">
        <v>228</v>
      </c>
      <c r="H795" s="21" t="s">
        <v>289</v>
      </c>
      <c r="I795" s="8">
        <v>8000</v>
      </c>
      <c r="J795" s="8">
        <v>8000</v>
      </c>
      <c r="K795" s="5" t="s">
        <v>17</v>
      </c>
      <c r="L795">
        <f t="shared" si="61"/>
        <v>2</v>
      </c>
      <c r="M795">
        <f t="shared" ca="1" si="64"/>
        <v>25</v>
      </c>
      <c r="N795" s="15">
        <f t="shared" si="62"/>
        <v>0</v>
      </c>
      <c r="O795" t="str">
        <f t="shared" ca="1" si="63"/>
        <v>0-30 Days</v>
      </c>
    </row>
    <row r="796" spans="1:15" x14ac:dyDescent="0.3">
      <c r="A796" s="2" t="s">
        <v>1316</v>
      </c>
      <c r="B796" s="3" t="s">
        <v>431</v>
      </c>
      <c r="C796" s="2" t="s">
        <v>12</v>
      </c>
      <c r="D796" s="2" t="str">
        <f t="shared" si="60"/>
        <v>Jan</v>
      </c>
      <c r="E796" s="24" t="s">
        <v>1128</v>
      </c>
      <c r="F796" s="20" t="s">
        <v>462</v>
      </c>
      <c r="G796" s="20" t="s">
        <v>429</v>
      </c>
      <c r="H796" s="20"/>
      <c r="I796" s="4">
        <v>45000</v>
      </c>
      <c r="J796" s="4">
        <v>0</v>
      </c>
      <c r="K796" s="12" t="s">
        <v>71</v>
      </c>
      <c r="L796">
        <f t="shared" si="61"/>
        <v>3</v>
      </c>
      <c r="M796">
        <f t="shared" ca="1" si="64"/>
        <v>522</v>
      </c>
      <c r="N796" s="15">
        <f t="shared" si="62"/>
        <v>45000</v>
      </c>
      <c r="O796" t="str">
        <f t="shared" ca="1" si="63"/>
        <v>90+ Days</v>
      </c>
    </row>
    <row r="797" spans="1:15" x14ac:dyDescent="0.3">
      <c r="A797" s="6" t="s">
        <v>1317</v>
      </c>
      <c r="B797" s="7" t="s">
        <v>402</v>
      </c>
      <c r="C797" s="6" t="s">
        <v>12</v>
      </c>
      <c r="D797" s="2" t="str">
        <f t="shared" si="60"/>
        <v>Oct</v>
      </c>
      <c r="E797" s="25" t="s">
        <v>623</v>
      </c>
      <c r="F797" s="21" t="s">
        <v>121</v>
      </c>
      <c r="G797" s="21" t="s">
        <v>122</v>
      </c>
      <c r="H797" s="21" t="s">
        <v>260</v>
      </c>
      <c r="I797" s="8">
        <v>75000</v>
      </c>
      <c r="J797" s="8">
        <v>75000</v>
      </c>
      <c r="K797" s="5" t="s">
        <v>17</v>
      </c>
      <c r="L797">
        <f t="shared" si="61"/>
        <v>1</v>
      </c>
      <c r="M797">
        <f t="shared" ca="1" si="64"/>
        <v>27</v>
      </c>
      <c r="N797" s="15">
        <f t="shared" si="62"/>
        <v>0</v>
      </c>
      <c r="O797" t="str">
        <f t="shared" ca="1" si="63"/>
        <v>0-30 Days</v>
      </c>
    </row>
    <row r="798" spans="1:15" x14ac:dyDescent="0.3">
      <c r="A798" s="2" t="s">
        <v>1318</v>
      </c>
      <c r="B798" s="3" t="s">
        <v>553</v>
      </c>
      <c r="C798" s="2" t="s">
        <v>12</v>
      </c>
      <c r="D798" s="2" t="str">
        <f t="shared" si="60"/>
        <v>Nov</v>
      </c>
      <c r="E798" s="24" t="s">
        <v>418</v>
      </c>
      <c r="F798" s="20" t="s">
        <v>260</v>
      </c>
      <c r="G798" s="20" t="s">
        <v>631</v>
      </c>
      <c r="H798" s="20" t="s">
        <v>99</v>
      </c>
      <c r="I798" s="4">
        <v>18000</v>
      </c>
      <c r="J798" s="4">
        <v>18000</v>
      </c>
      <c r="K798" s="9" t="s">
        <v>45</v>
      </c>
      <c r="L798">
        <f t="shared" si="61"/>
        <v>1</v>
      </c>
      <c r="M798">
        <f t="shared" ca="1" si="64"/>
        <v>38</v>
      </c>
      <c r="N798" s="15">
        <f t="shared" si="62"/>
        <v>0</v>
      </c>
      <c r="O798" t="str">
        <f t="shared" ca="1" si="63"/>
        <v>31-60 Days</v>
      </c>
    </row>
    <row r="799" spans="1:15" x14ac:dyDescent="0.3">
      <c r="A799" s="6" t="s">
        <v>1319</v>
      </c>
      <c r="B799" s="7" t="s">
        <v>527</v>
      </c>
      <c r="C799" s="6" t="s">
        <v>12</v>
      </c>
      <c r="D799" s="2" t="str">
        <f t="shared" si="60"/>
        <v>Jun</v>
      </c>
      <c r="E799" s="25" t="s">
        <v>387</v>
      </c>
      <c r="F799" s="21" t="s">
        <v>712</v>
      </c>
      <c r="G799" s="21" t="s">
        <v>226</v>
      </c>
      <c r="H799" s="21" t="s">
        <v>765</v>
      </c>
      <c r="I799" s="8">
        <v>12000</v>
      </c>
      <c r="J799" s="8">
        <v>12000</v>
      </c>
      <c r="K799" s="5" t="s">
        <v>17</v>
      </c>
      <c r="L799">
        <f t="shared" si="61"/>
        <v>3</v>
      </c>
      <c r="M799">
        <f t="shared" ca="1" si="64"/>
        <v>22</v>
      </c>
      <c r="N799" s="15">
        <f t="shared" si="62"/>
        <v>0</v>
      </c>
      <c r="O799" t="str">
        <f t="shared" ca="1" si="63"/>
        <v>0-30 Days</v>
      </c>
    </row>
    <row r="800" spans="1:15" x14ac:dyDescent="0.3">
      <c r="A800" s="2" t="s">
        <v>1320</v>
      </c>
      <c r="B800" s="3" t="s">
        <v>300</v>
      </c>
      <c r="C800" s="2" t="s">
        <v>12</v>
      </c>
      <c r="D800" s="2" t="str">
        <f t="shared" si="60"/>
        <v>Jan</v>
      </c>
      <c r="E800" s="24" t="s">
        <v>1215</v>
      </c>
      <c r="F800" s="20" t="s">
        <v>104</v>
      </c>
      <c r="G800" s="20" t="s">
        <v>14</v>
      </c>
      <c r="H800" s="20" t="s">
        <v>248</v>
      </c>
      <c r="I800" s="4">
        <v>25000</v>
      </c>
      <c r="J800" s="4">
        <v>25000</v>
      </c>
      <c r="K800" s="5" t="s">
        <v>17</v>
      </c>
      <c r="L800">
        <f t="shared" si="61"/>
        <v>1</v>
      </c>
      <c r="M800">
        <f t="shared" ca="1" si="64"/>
        <v>20</v>
      </c>
      <c r="N800" s="15">
        <f t="shared" si="62"/>
        <v>0</v>
      </c>
      <c r="O800" t="str">
        <f t="shared" ca="1" si="63"/>
        <v>0-30 Days</v>
      </c>
    </row>
    <row r="801" spans="1:15" x14ac:dyDescent="0.3">
      <c r="A801" s="6" t="s">
        <v>1321</v>
      </c>
      <c r="B801" s="7" t="s">
        <v>727</v>
      </c>
      <c r="C801" s="6" t="s">
        <v>12</v>
      </c>
      <c r="D801" s="2" t="str">
        <f t="shared" si="60"/>
        <v>Mar</v>
      </c>
      <c r="E801" s="25" t="s">
        <v>422</v>
      </c>
      <c r="F801" s="21" t="s">
        <v>22</v>
      </c>
      <c r="G801" s="21" t="s">
        <v>412</v>
      </c>
      <c r="H801" s="21" t="s">
        <v>218</v>
      </c>
      <c r="I801" s="8">
        <v>35000</v>
      </c>
      <c r="J801" s="8">
        <v>35000</v>
      </c>
      <c r="K801" s="5" t="s">
        <v>17</v>
      </c>
      <c r="L801">
        <f t="shared" si="61"/>
        <v>1</v>
      </c>
      <c r="M801">
        <f t="shared" ca="1" si="64"/>
        <v>15</v>
      </c>
      <c r="N801" s="15">
        <f t="shared" si="62"/>
        <v>0</v>
      </c>
      <c r="O801" t="str">
        <f t="shared" ca="1" si="63"/>
        <v>0-30 Days</v>
      </c>
    </row>
    <row r="802" spans="1:15" x14ac:dyDescent="0.3">
      <c r="A802" s="2" t="s">
        <v>1322</v>
      </c>
      <c r="B802" s="3" t="s">
        <v>47</v>
      </c>
      <c r="C802" s="2" t="s">
        <v>40</v>
      </c>
      <c r="D802" s="2" t="str">
        <f t="shared" si="60"/>
        <v>Jan</v>
      </c>
      <c r="E802" s="24" t="s">
        <v>264</v>
      </c>
      <c r="F802" s="20" t="s">
        <v>104</v>
      </c>
      <c r="G802" s="20" t="s">
        <v>14</v>
      </c>
      <c r="H802" s="20" t="s">
        <v>771</v>
      </c>
      <c r="I802" s="4">
        <v>40000</v>
      </c>
      <c r="J802" s="4">
        <v>40000</v>
      </c>
      <c r="K802" s="9" t="s">
        <v>45</v>
      </c>
      <c r="L802">
        <f t="shared" si="61"/>
        <v>3</v>
      </c>
      <c r="M802">
        <f t="shared" ca="1" si="64"/>
        <v>43</v>
      </c>
      <c r="N802" s="15">
        <f t="shared" si="62"/>
        <v>0</v>
      </c>
      <c r="O802" t="str">
        <f t="shared" ca="1" si="63"/>
        <v>31-60 Days</v>
      </c>
    </row>
    <row r="803" spans="1:15" x14ac:dyDescent="0.3">
      <c r="A803" s="6" t="s">
        <v>1323</v>
      </c>
      <c r="B803" s="7" t="s">
        <v>108</v>
      </c>
      <c r="C803" s="6" t="s">
        <v>12</v>
      </c>
      <c r="D803" s="2" t="str">
        <f t="shared" si="60"/>
        <v>May</v>
      </c>
      <c r="E803" s="25" t="s">
        <v>577</v>
      </c>
      <c r="F803" s="21" t="s">
        <v>564</v>
      </c>
      <c r="G803" s="21" t="s">
        <v>507</v>
      </c>
      <c r="H803" s="21" t="s">
        <v>426</v>
      </c>
      <c r="I803" s="8">
        <v>22000</v>
      </c>
      <c r="J803" s="8">
        <v>22000</v>
      </c>
      <c r="K803" s="5" t="s">
        <v>17</v>
      </c>
      <c r="L803">
        <f t="shared" si="61"/>
        <v>1</v>
      </c>
      <c r="M803">
        <f t="shared" ca="1" si="64"/>
        <v>23</v>
      </c>
      <c r="N803" s="15">
        <f t="shared" si="62"/>
        <v>0</v>
      </c>
      <c r="O803" t="str">
        <f t="shared" ca="1" si="63"/>
        <v>0-30 Days</v>
      </c>
    </row>
    <row r="804" spans="1:15" x14ac:dyDescent="0.3">
      <c r="A804" s="2" t="s">
        <v>1324</v>
      </c>
      <c r="B804" s="3" t="s">
        <v>420</v>
      </c>
      <c r="C804" s="2" t="s">
        <v>12</v>
      </c>
      <c r="D804" s="2" t="str">
        <f t="shared" si="60"/>
        <v>Feb</v>
      </c>
      <c r="E804" s="24" t="s">
        <v>358</v>
      </c>
      <c r="F804" s="20" t="s">
        <v>247</v>
      </c>
      <c r="G804" s="20" t="s">
        <v>725</v>
      </c>
      <c r="H804" s="20" t="s">
        <v>16</v>
      </c>
      <c r="I804" s="4">
        <v>22000</v>
      </c>
      <c r="J804" s="4">
        <v>22000</v>
      </c>
      <c r="K804" s="5" t="s">
        <v>17</v>
      </c>
      <c r="L804">
        <f t="shared" si="61"/>
        <v>2</v>
      </c>
      <c r="M804">
        <f t="shared" ca="1" si="64"/>
        <v>20</v>
      </c>
      <c r="N804" s="15">
        <f t="shared" si="62"/>
        <v>0</v>
      </c>
      <c r="O804" t="str">
        <f t="shared" ca="1" si="63"/>
        <v>0-30 Days</v>
      </c>
    </row>
    <row r="805" spans="1:15" x14ac:dyDescent="0.3">
      <c r="A805" s="6" t="s">
        <v>1325</v>
      </c>
      <c r="B805" s="7" t="s">
        <v>306</v>
      </c>
      <c r="C805" s="6" t="s">
        <v>12</v>
      </c>
      <c r="D805" s="2" t="str">
        <f t="shared" si="60"/>
        <v>Dec</v>
      </c>
      <c r="E805" s="25" t="s">
        <v>301</v>
      </c>
      <c r="F805" s="21" t="s">
        <v>270</v>
      </c>
      <c r="G805" s="21" t="s">
        <v>138</v>
      </c>
      <c r="H805" s="21" t="s">
        <v>509</v>
      </c>
      <c r="I805" s="8">
        <v>15000</v>
      </c>
      <c r="J805" s="8">
        <v>15000</v>
      </c>
      <c r="K805" s="5" t="s">
        <v>17</v>
      </c>
      <c r="L805">
        <f t="shared" si="61"/>
        <v>1</v>
      </c>
      <c r="M805">
        <f t="shared" ca="1" si="64"/>
        <v>6</v>
      </c>
      <c r="N805" s="15">
        <f t="shared" si="62"/>
        <v>0</v>
      </c>
      <c r="O805" t="str">
        <f t="shared" ca="1" si="63"/>
        <v>0-30 Days</v>
      </c>
    </row>
    <row r="806" spans="1:15" x14ac:dyDescent="0.3">
      <c r="A806" s="2" t="s">
        <v>1326</v>
      </c>
      <c r="B806" s="3" t="s">
        <v>660</v>
      </c>
      <c r="C806" s="2" t="s">
        <v>12</v>
      </c>
      <c r="D806" s="2" t="str">
        <f t="shared" si="60"/>
        <v>Oct</v>
      </c>
      <c r="E806" s="24" t="s">
        <v>243</v>
      </c>
      <c r="F806" s="20" t="s">
        <v>244</v>
      </c>
      <c r="G806" s="20" t="s">
        <v>245</v>
      </c>
      <c r="H806" s="20"/>
      <c r="I806" s="4">
        <v>10000</v>
      </c>
      <c r="J806" s="4">
        <v>0</v>
      </c>
      <c r="K806" s="12" t="s">
        <v>71</v>
      </c>
      <c r="L806">
        <f t="shared" si="61"/>
        <v>1</v>
      </c>
      <c r="M806">
        <f t="shared" ca="1" si="64"/>
        <v>249</v>
      </c>
      <c r="N806" s="15">
        <f t="shared" si="62"/>
        <v>10000</v>
      </c>
      <c r="O806" t="str">
        <f t="shared" ca="1" si="63"/>
        <v>90+ Days</v>
      </c>
    </row>
    <row r="807" spans="1:15" x14ac:dyDescent="0.3">
      <c r="A807" s="6" t="s">
        <v>1327</v>
      </c>
      <c r="B807" s="7" t="s">
        <v>68</v>
      </c>
      <c r="C807" s="6" t="s">
        <v>33</v>
      </c>
      <c r="D807" s="2" t="str">
        <f t="shared" si="60"/>
        <v>Nov</v>
      </c>
      <c r="E807" s="25" t="s">
        <v>441</v>
      </c>
      <c r="F807" s="21" t="s">
        <v>271</v>
      </c>
      <c r="G807" s="21" t="s">
        <v>663</v>
      </c>
      <c r="H807" s="21" t="s">
        <v>761</v>
      </c>
      <c r="I807" s="8">
        <v>45000</v>
      </c>
      <c r="J807" s="8">
        <v>45000</v>
      </c>
      <c r="K807" s="9" t="s">
        <v>45</v>
      </c>
      <c r="L807">
        <f t="shared" si="61"/>
        <v>2</v>
      </c>
      <c r="M807">
        <f t="shared" ca="1" si="64"/>
        <v>51</v>
      </c>
      <c r="N807" s="15">
        <f t="shared" si="62"/>
        <v>0</v>
      </c>
      <c r="O807" t="str">
        <f t="shared" ca="1" si="63"/>
        <v>31-60 Days</v>
      </c>
    </row>
    <row r="808" spans="1:15" x14ac:dyDescent="0.3">
      <c r="A808" s="2" t="s">
        <v>1328</v>
      </c>
      <c r="B808" s="3" t="s">
        <v>415</v>
      </c>
      <c r="C808" s="2" t="s">
        <v>12</v>
      </c>
      <c r="D808" s="2" t="str">
        <f t="shared" si="60"/>
        <v>Aug</v>
      </c>
      <c r="E808" s="24" t="s">
        <v>157</v>
      </c>
      <c r="F808" s="20" t="s">
        <v>60</v>
      </c>
      <c r="G808" s="20" t="s">
        <v>599</v>
      </c>
      <c r="H808" s="20"/>
      <c r="I808" s="4">
        <v>100000</v>
      </c>
      <c r="J808" s="4">
        <v>0</v>
      </c>
      <c r="K808" s="10" t="s">
        <v>57</v>
      </c>
      <c r="L808">
        <f t="shared" si="61"/>
        <v>2</v>
      </c>
      <c r="M808">
        <f t="shared" ca="1" si="64"/>
        <v>296</v>
      </c>
      <c r="N808" s="15">
        <f t="shared" si="62"/>
        <v>100000</v>
      </c>
      <c r="O808" t="str">
        <f t="shared" ca="1" si="63"/>
        <v>90+ Days</v>
      </c>
    </row>
    <row r="809" spans="1:15" x14ac:dyDescent="0.3">
      <c r="A809" s="6" t="s">
        <v>1329</v>
      </c>
      <c r="B809" s="7" t="s">
        <v>198</v>
      </c>
      <c r="C809" s="6" t="s">
        <v>26</v>
      </c>
      <c r="D809" s="2" t="str">
        <f t="shared" si="60"/>
        <v>Aug</v>
      </c>
      <c r="E809" s="25" t="s">
        <v>156</v>
      </c>
      <c r="F809" s="21" t="s">
        <v>256</v>
      </c>
      <c r="G809" s="21" t="s">
        <v>213</v>
      </c>
      <c r="H809" s="21"/>
      <c r="I809" s="8">
        <v>55000</v>
      </c>
      <c r="J809" s="8">
        <v>0</v>
      </c>
      <c r="K809" s="12" t="s">
        <v>71</v>
      </c>
      <c r="L809">
        <f t="shared" si="61"/>
        <v>2</v>
      </c>
      <c r="M809">
        <f t="shared" ca="1" si="64"/>
        <v>297</v>
      </c>
      <c r="N809" s="15">
        <f t="shared" si="62"/>
        <v>55000</v>
      </c>
      <c r="O809" t="str">
        <f t="shared" ca="1" si="63"/>
        <v>90+ Days</v>
      </c>
    </row>
    <row r="810" spans="1:15" x14ac:dyDescent="0.3">
      <c r="A810" s="2" t="s">
        <v>1330</v>
      </c>
      <c r="B810" s="3" t="s">
        <v>593</v>
      </c>
      <c r="C810" s="2" t="s">
        <v>12</v>
      </c>
      <c r="D810" s="2" t="str">
        <f t="shared" si="60"/>
        <v>Aug</v>
      </c>
      <c r="E810" s="24" t="s">
        <v>228</v>
      </c>
      <c r="F810" s="20" t="s">
        <v>542</v>
      </c>
      <c r="G810" s="20" t="s">
        <v>597</v>
      </c>
      <c r="H810" s="20"/>
      <c r="I810" s="4">
        <v>100000</v>
      </c>
      <c r="J810" s="4">
        <v>0</v>
      </c>
      <c r="K810" s="12" t="s">
        <v>71</v>
      </c>
      <c r="L810">
        <f t="shared" si="61"/>
        <v>3</v>
      </c>
      <c r="M810">
        <f t="shared" ca="1" si="64"/>
        <v>286</v>
      </c>
      <c r="N810" s="15">
        <f t="shared" si="62"/>
        <v>100000</v>
      </c>
      <c r="O810" t="str">
        <f t="shared" ca="1" si="63"/>
        <v>90+ Days</v>
      </c>
    </row>
    <row r="811" spans="1:15" x14ac:dyDescent="0.3">
      <c r="A811" s="6" t="s">
        <v>1331</v>
      </c>
      <c r="B811" s="7" t="s">
        <v>587</v>
      </c>
      <c r="C811" s="6" t="s">
        <v>26</v>
      </c>
      <c r="D811" s="2" t="str">
        <f t="shared" si="60"/>
        <v>Feb</v>
      </c>
      <c r="E811" s="25" t="s">
        <v>265</v>
      </c>
      <c r="F811" s="21" t="s">
        <v>20</v>
      </c>
      <c r="G811" s="21" t="s">
        <v>298</v>
      </c>
      <c r="H811" s="21" t="s">
        <v>250</v>
      </c>
      <c r="I811" s="8">
        <v>40000</v>
      </c>
      <c r="J811" s="8">
        <v>40000</v>
      </c>
      <c r="K811" s="5" t="s">
        <v>17</v>
      </c>
      <c r="L811">
        <f t="shared" si="61"/>
        <v>3</v>
      </c>
      <c r="M811">
        <f t="shared" ca="1" si="64"/>
        <v>16</v>
      </c>
      <c r="N811" s="15">
        <f t="shared" si="62"/>
        <v>0</v>
      </c>
      <c r="O811" t="str">
        <f t="shared" ca="1" si="63"/>
        <v>0-30 Days</v>
      </c>
    </row>
    <row r="812" spans="1:15" x14ac:dyDescent="0.3">
      <c r="A812" s="2" t="s">
        <v>1332</v>
      </c>
      <c r="B812" s="3" t="s">
        <v>11</v>
      </c>
      <c r="C812" s="2" t="s">
        <v>12</v>
      </c>
      <c r="D812" s="2" t="str">
        <f t="shared" si="60"/>
        <v>May</v>
      </c>
      <c r="E812" s="24" t="s">
        <v>522</v>
      </c>
      <c r="F812" s="20" t="s">
        <v>517</v>
      </c>
      <c r="G812" s="20" t="s">
        <v>354</v>
      </c>
      <c r="H812" s="20" t="s">
        <v>474</v>
      </c>
      <c r="I812" s="4">
        <v>45000</v>
      </c>
      <c r="J812" s="4">
        <v>45000</v>
      </c>
      <c r="K812" s="5" t="s">
        <v>17</v>
      </c>
      <c r="L812">
        <f t="shared" si="61"/>
        <v>3</v>
      </c>
      <c r="M812">
        <f t="shared" ca="1" si="64"/>
        <v>8</v>
      </c>
      <c r="N812" s="15">
        <f t="shared" si="62"/>
        <v>0</v>
      </c>
      <c r="O812" t="str">
        <f t="shared" ca="1" si="63"/>
        <v>0-30 Days</v>
      </c>
    </row>
    <row r="813" spans="1:15" x14ac:dyDescent="0.3">
      <c r="A813" s="6" t="s">
        <v>1333</v>
      </c>
      <c r="B813" s="7" t="s">
        <v>73</v>
      </c>
      <c r="C813" s="6" t="s">
        <v>26</v>
      </c>
      <c r="D813" s="2" t="str">
        <f t="shared" si="60"/>
        <v>Mar</v>
      </c>
      <c r="E813" s="25" t="s">
        <v>422</v>
      </c>
      <c r="F813" s="21" t="s">
        <v>451</v>
      </c>
      <c r="G813" s="21" t="s">
        <v>452</v>
      </c>
      <c r="H813" s="21"/>
      <c r="I813" s="8">
        <v>20000</v>
      </c>
      <c r="J813" s="8">
        <v>0</v>
      </c>
      <c r="K813" s="10" t="s">
        <v>57</v>
      </c>
      <c r="L813">
        <f t="shared" si="61"/>
        <v>2</v>
      </c>
      <c r="M813">
        <f t="shared" ca="1" si="64"/>
        <v>445</v>
      </c>
      <c r="N813" s="15">
        <f t="shared" si="62"/>
        <v>20000</v>
      </c>
      <c r="O813" t="str">
        <f t="shared" ca="1" si="63"/>
        <v>90+ Days</v>
      </c>
    </row>
    <row r="814" spans="1:15" x14ac:dyDescent="0.3">
      <c r="A814" s="2" t="s">
        <v>1334</v>
      </c>
      <c r="B814" s="3" t="s">
        <v>306</v>
      </c>
      <c r="C814" s="2" t="s">
        <v>12</v>
      </c>
      <c r="D814" s="2" t="str">
        <f t="shared" si="60"/>
        <v>Jul</v>
      </c>
      <c r="E814" s="24" t="s">
        <v>584</v>
      </c>
      <c r="F814" s="20" t="s">
        <v>226</v>
      </c>
      <c r="G814" s="20" t="s">
        <v>342</v>
      </c>
      <c r="H814" s="20" t="s">
        <v>670</v>
      </c>
      <c r="I814" s="4">
        <v>50000</v>
      </c>
      <c r="J814" s="4">
        <v>50000</v>
      </c>
      <c r="K814" s="9" t="s">
        <v>45</v>
      </c>
      <c r="L814">
        <f t="shared" si="61"/>
        <v>1</v>
      </c>
      <c r="M814">
        <f t="shared" ca="1" si="64"/>
        <v>37</v>
      </c>
      <c r="N814" s="15">
        <f t="shared" si="62"/>
        <v>0</v>
      </c>
      <c r="O814" t="str">
        <f t="shared" ca="1" si="63"/>
        <v>31-60 Days</v>
      </c>
    </row>
    <row r="815" spans="1:15" x14ac:dyDescent="0.3">
      <c r="A815" s="6" t="s">
        <v>1335</v>
      </c>
      <c r="B815" s="7" t="s">
        <v>702</v>
      </c>
      <c r="C815" s="6" t="s">
        <v>40</v>
      </c>
      <c r="D815" s="2" t="str">
        <f t="shared" si="60"/>
        <v>Jul</v>
      </c>
      <c r="E815" s="25" t="s">
        <v>444</v>
      </c>
      <c r="F815" s="21" t="s">
        <v>765</v>
      </c>
      <c r="G815" s="21" t="s">
        <v>156</v>
      </c>
      <c r="H815" s="21"/>
      <c r="I815" s="8">
        <v>22000</v>
      </c>
      <c r="J815" s="8">
        <v>0</v>
      </c>
      <c r="K815" s="10" t="s">
        <v>57</v>
      </c>
      <c r="L815">
        <f t="shared" si="61"/>
        <v>1</v>
      </c>
      <c r="M815">
        <f t="shared" ca="1" si="64"/>
        <v>329</v>
      </c>
      <c r="N815" s="15">
        <f t="shared" si="62"/>
        <v>22000</v>
      </c>
      <c r="O815" t="str">
        <f t="shared" ca="1" si="63"/>
        <v>90+ Days</v>
      </c>
    </row>
    <row r="816" spans="1:15" x14ac:dyDescent="0.3">
      <c r="A816" s="2" t="s">
        <v>1336</v>
      </c>
      <c r="B816" s="3" t="s">
        <v>365</v>
      </c>
      <c r="C816" s="2" t="s">
        <v>40</v>
      </c>
      <c r="D816" s="2" t="str">
        <f t="shared" si="60"/>
        <v>Jun</v>
      </c>
      <c r="E816" s="24" t="s">
        <v>43</v>
      </c>
      <c r="F816" s="20" t="s">
        <v>427</v>
      </c>
      <c r="G816" s="20" t="s">
        <v>355</v>
      </c>
      <c r="H816" s="20" t="s">
        <v>443</v>
      </c>
      <c r="I816" s="4">
        <v>18000</v>
      </c>
      <c r="J816" s="4">
        <v>18000</v>
      </c>
      <c r="K816" s="5" t="s">
        <v>17</v>
      </c>
      <c r="L816">
        <f t="shared" si="61"/>
        <v>1</v>
      </c>
      <c r="M816">
        <f t="shared" ca="1" si="64"/>
        <v>25</v>
      </c>
      <c r="N816" s="15">
        <f t="shared" si="62"/>
        <v>0</v>
      </c>
      <c r="O816" t="str">
        <f t="shared" ca="1" si="63"/>
        <v>0-30 Days</v>
      </c>
    </row>
    <row r="817" spans="1:15" x14ac:dyDescent="0.3">
      <c r="A817" s="6" t="s">
        <v>1337</v>
      </c>
      <c r="B817" s="7" t="s">
        <v>380</v>
      </c>
      <c r="C817" s="6" t="s">
        <v>12</v>
      </c>
      <c r="D817" s="2" t="str">
        <f t="shared" si="60"/>
        <v>Oct</v>
      </c>
      <c r="E817" s="25" t="s">
        <v>215</v>
      </c>
      <c r="F817" s="21" t="s">
        <v>173</v>
      </c>
      <c r="G817" s="21" t="s">
        <v>92</v>
      </c>
      <c r="H817" s="21" t="s">
        <v>732</v>
      </c>
      <c r="I817" s="8">
        <v>22000</v>
      </c>
      <c r="J817" s="8">
        <v>22000</v>
      </c>
      <c r="K817" s="5" t="s">
        <v>17</v>
      </c>
      <c r="L817">
        <f t="shared" si="61"/>
        <v>1</v>
      </c>
      <c r="M817">
        <f t="shared" ca="1" si="64"/>
        <v>23</v>
      </c>
      <c r="N817" s="15">
        <f t="shared" si="62"/>
        <v>0</v>
      </c>
      <c r="O817" t="str">
        <f t="shared" ca="1" si="63"/>
        <v>0-30 Days</v>
      </c>
    </row>
    <row r="818" spans="1:15" x14ac:dyDescent="0.3">
      <c r="A818" s="2" t="s">
        <v>1338</v>
      </c>
      <c r="B818" s="3" t="s">
        <v>293</v>
      </c>
      <c r="C818" s="2" t="s">
        <v>12</v>
      </c>
      <c r="D818" s="2" t="str">
        <f t="shared" si="60"/>
        <v>Mar</v>
      </c>
      <c r="E818" s="24" t="s">
        <v>250</v>
      </c>
      <c r="F818" s="20" t="s">
        <v>217</v>
      </c>
      <c r="G818" s="20" t="s">
        <v>218</v>
      </c>
      <c r="H818" s="20" t="s">
        <v>181</v>
      </c>
      <c r="I818" s="4">
        <v>5000</v>
      </c>
      <c r="J818" s="4">
        <v>5000</v>
      </c>
      <c r="K818" s="5" t="s">
        <v>17</v>
      </c>
      <c r="L818">
        <f t="shared" si="61"/>
        <v>2</v>
      </c>
      <c r="M818">
        <f t="shared" ca="1" si="64"/>
        <v>6</v>
      </c>
      <c r="N818" s="15">
        <f t="shared" si="62"/>
        <v>0</v>
      </c>
      <c r="O818" t="str">
        <f t="shared" ca="1" si="63"/>
        <v>0-30 Days</v>
      </c>
    </row>
    <row r="819" spans="1:15" x14ac:dyDescent="0.3">
      <c r="A819" s="6" t="s">
        <v>1339</v>
      </c>
      <c r="B819" s="7" t="s">
        <v>521</v>
      </c>
      <c r="C819" s="6" t="s">
        <v>33</v>
      </c>
      <c r="D819" s="2" t="str">
        <f t="shared" si="60"/>
        <v>Aug</v>
      </c>
      <c r="E819" s="25" t="s">
        <v>87</v>
      </c>
      <c r="F819" s="21" t="s">
        <v>730</v>
      </c>
      <c r="G819" s="21" t="s">
        <v>667</v>
      </c>
      <c r="H819" s="21" t="s">
        <v>342</v>
      </c>
      <c r="I819" s="8">
        <v>35000</v>
      </c>
      <c r="J819" s="8">
        <v>26250</v>
      </c>
      <c r="K819" s="13" t="s">
        <v>113</v>
      </c>
      <c r="L819">
        <f t="shared" si="61"/>
        <v>3</v>
      </c>
      <c r="M819">
        <f t="shared" ca="1" si="64"/>
        <v>16</v>
      </c>
      <c r="N819" s="15">
        <f t="shared" si="62"/>
        <v>8750</v>
      </c>
      <c r="O819" t="str">
        <f t="shared" ca="1" si="63"/>
        <v>0-30 Days</v>
      </c>
    </row>
    <row r="820" spans="1:15" x14ac:dyDescent="0.3">
      <c r="A820" s="2" t="s">
        <v>1340</v>
      </c>
      <c r="B820" s="3" t="s">
        <v>325</v>
      </c>
      <c r="C820" s="2" t="s">
        <v>12</v>
      </c>
      <c r="D820" s="2" t="str">
        <f t="shared" si="60"/>
        <v>Mar</v>
      </c>
      <c r="E820" s="24" t="s">
        <v>15</v>
      </c>
      <c r="F820" s="20" t="s">
        <v>161</v>
      </c>
      <c r="G820" s="20" t="s">
        <v>564</v>
      </c>
      <c r="H820" s="20" t="s">
        <v>208</v>
      </c>
      <c r="I820" s="4">
        <v>20000</v>
      </c>
      <c r="J820" s="4">
        <v>20000</v>
      </c>
      <c r="K820" s="5" t="s">
        <v>17</v>
      </c>
      <c r="L820">
        <f t="shared" si="61"/>
        <v>3</v>
      </c>
      <c r="M820">
        <f t="shared" ca="1" si="64"/>
        <v>26</v>
      </c>
      <c r="N820" s="15">
        <f t="shared" si="62"/>
        <v>0</v>
      </c>
      <c r="O820" t="str">
        <f t="shared" ca="1" si="63"/>
        <v>0-30 Days</v>
      </c>
    </row>
    <row r="821" spans="1:15" x14ac:dyDescent="0.3">
      <c r="A821" s="6" t="s">
        <v>1341</v>
      </c>
      <c r="B821" s="7" t="s">
        <v>593</v>
      </c>
      <c r="C821" s="6" t="s">
        <v>12</v>
      </c>
      <c r="D821" s="2" t="str">
        <f t="shared" si="60"/>
        <v>Nov</v>
      </c>
      <c r="E821" s="25" t="s">
        <v>362</v>
      </c>
      <c r="F821" s="21" t="s">
        <v>245</v>
      </c>
      <c r="G821" s="21" t="s">
        <v>281</v>
      </c>
      <c r="H821" s="21" t="s">
        <v>275</v>
      </c>
      <c r="I821" s="8">
        <v>45000</v>
      </c>
      <c r="J821" s="8">
        <v>33750</v>
      </c>
      <c r="K821" s="13" t="s">
        <v>113</v>
      </c>
      <c r="L821">
        <f t="shared" si="61"/>
        <v>2</v>
      </c>
      <c r="M821">
        <f t="shared" ca="1" si="64"/>
        <v>31</v>
      </c>
      <c r="N821" s="15">
        <f t="shared" si="62"/>
        <v>11250</v>
      </c>
      <c r="O821" t="str">
        <f t="shared" ca="1" si="63"/>
        <v>31-60 Days</v>
      </c>
    </row>
    <row r="822" spans="1:15" x14ac:dyDescent="0.3">
      <c r="A822" s="2" t="s">
        <v>1342</v>
      </c>
      <c r="B822" s="3" t="s">
        <v>434</v>
      </c>
      <c r="C822" s="2" t="s">
        <v>12</v>
      </c>
      <c r="D822" s="2" t="str">
        <f t="shared" si="60"/>
        <v>May</v>
      </c>
      <c r="E822" s="24" t="s">
        <v>235</v>
      </c>
      <c r="F822" s="20" t="s">
        <v>559</v>
      </c>
      <c r="G822" s="20" t="s">
        <v>396</v>
      </c>
      <c r="H822" s="20"/>
      <c r="I822" s="4">
        <v>12000</v>
      </c>
      <c r="J822" s="4">
        <v>0</v>
      </c>
      <c r="K822" s="11" t="s">
        <v>63</v>
      </c>
      <c r="L822">
        <f t="shared" si="61"/>
        <v>2</v>
      </c>
      <c r="M822">
        <f t="shared" ca="1" si="64"/>
        <v>402</v>
      </c>
      <c r="N822" s="15">
        <f t="shared" si="62"/>
        <v>12000</v>
      </c>
      <c r="O822" t="str">
        <f t="shared" ca="1" si="63"/>
        <v>90+ Days</v>
      </c>
    </row>
    <row r="823" spans="1:15" x14ac:dyDescent="0.3">
      <c r="A823" s="6" t="s">
        <v>1343</v>
      </c>
      <c r="B823" s="7" t="s">
        <v>378</v>
      </c>
      <c r="C823" s="6" t="s">
        <v>12</v>
      </c>
      <c r="D823" s="2" t="str">
        <f t="shared" si="60"/>
        <v>Aug</v>
      </c>
      <c r="E823" s="25" t="s">
        <v>445</v>
      </c>
      <c r="F823" s="21" t="s">
        <v>156</v>
      </c>
      <c r="G823" s="21" t="s">
        <v>535</v>
      </c>
      <c r="H823" s="21" t="s">
        <v>322</v>
      </c>
      <c r="I823" s="8">
        <v>20000</v>
      </c>
      <c r="J823" s="8">
        <v>20000</v>
      </c>
      <c r="K823" s="5" t="s">
        <v>17</v>
      </c>
      <c r="L823">
        <f t="shared" si="61"/>
        <v>1</v>
      </c>
      <c r="M823">
        <f t="shared" ca="1" si="64"/>
        <v>27</v>
      </c>
      <c r="N823" s="15">
        <f t="shared" si="62"/>
        <v>0</v>
      </c>
      <c r="O823" t="str">
        <f t="shared" ca="1" si="63"/>
        <v>0-30 Days</v>
      </c>
    </row>
    <row r="824" spans="1:15" x14ac:dyDescent="0.3">
      <c r="A824" s="2" t="s">
        <v>1344</v>
      </c>
      <c r="B824" s="3" t="s">
        <v>306</v>
      </c>
      <c r="C824" s="2" t="s">
        <v>12</v>
      </c>
      <c r="D824" s="2" t="str">
        <f t="shared" si="60"/>
        <v>Sep</v>
      </c>
      <c r="E824" s="24" t="s">
        <v>535</v>
      </c>
      <c r="F824" s="20" t="s">
        <v>213</v>
      </c>
      <c r="G824" s="20" t="s">
        <v>214</v>
      </c>
      <c r="H824" s="20"/>
      <c r="I824" s="4">
        <v>55000</v>
      </c>
      <c r="J824" s="4">
        <v>0</v>
      </c>
      <c r="K824" s="10" t="s">
        <v>57</v>
      </c>
      <c r="L824">
        <f t="shared" si="61"/>
        <v>2</v>
      </c>
      <c r="M824">
        <f t="shared" ca="1" si="64"/>
        <v>267</v>
      </c>
      <c r="N824" s="15">
        <f t="shared" si="62"/>
        <v>55000</v>
      </c>
      <c r="O824" t="str">
        <f t="shared" ca="1" si="63"/>
        <v>90+ Days</v>
      </c>
    </row>
    <row r="825" spans="1:15" x14ac:dyDescent="0.3">
      <c r="A825" s="6" t="s">
        <v>1345</v>
      </c>
      <c r="B825" s="7" t="s">
        <v>309</v>
      </c>
      <c r="C825" s="6" t="s">
        <v>12</v>
      </c>
      <c r="D825" s="2" t="str">
        <f t="shared" si="60"/>
        <v>Oct</v>
      </c>
      <c r="E825" s="25" t="s">
        <v>133</v>
      </c>
      <c r="F825" s="21" t="s">
        <v>707</v>
      </c>
      <c r="G825" s="21" t="s">
        <v>418</v>
      </c>
      <c r="H825" s="21" t="s">
        <v>362</v>
      </c>
      <c r="I825" s="8">
        <v>30000</v>
      </c>
      <c r="J825" s="8">
        <v>30000</v>
      </c>
      <c r="K825" s="5" t="s">
        <v>17</v>
      </c>
      <c r="L825">
        <f t="shared" si="61"/>
        <v>3</v>
      </c>
      <c r="M825">
        <f t="shared" ca="1" si="64"/>
        <v>24</v>
      </c>
      <c r="N825" s="15">
        <f t="shared" si="62"/>
        <v>0</v>
      </c>
      <c r="O825" t="str">
        <f t="shared" ca="1" si="63"/>
        <v>0-30 Days</v>
      </c>
    </row>
    <row r="826" spans="1:15" x14ac:dyDescent="0.3">
      <c r="A826" s="2" t="s">
        <v>1346</v>
      </c>
      <c r="B826" s="3" t="s">
        <v>309</v>
      </c>
      <c r="C826" s="2" t="s">
        <v>12</v>
      </c>
      <c r="D826" s="2" t="str">
        <f t="shared" si="60"/>
        <v>May</v>
      </c>
      <c r="E826" s="24" t="s">
        <v>210</v>
      </c>
      <c r="F826" s="20" t="s">
        <v>507</v>
      </c>
      <c r="G826" s="20" t="s">
        <v>178</v>
      </c>
      <c r="H826" s="20" t="s">
        <v>655</v>
      </c>
      <c r="I826" s="4">
        <v>100000</v>
      </c>
      <c r="J826" s="4">
        <v>75000</v>
      </c>
      <c r="K826" s="13" t="s">
        <v>113</v>
      </c>
      <c r="L826">
        <f t="shared" si="61"/>
        <v>3</v>
      </c>
      <c r="M826">
        <f t="shared" ca="1" si="64"/>
        <v>13</v>
      </c>
      <c r="N826" s="15">
        <f t="shared" si="62"/>
        <v>25000</v>
      </c>
      <c r="O826" t="str">
        <f t="shared" ca="1" si="63"/>
        <v>0-30 Days</v>
      </c>
    </row>
    <row r="827" spans="1:15" x14ac:dyDescent="0.3">
      <c r="A827" s="6" t="s">
        <v>1347</v>
      </c>
      <c r="B827" s="7" t="s">
        <v>115</v>
      </c>
      <c r="C827" s="6" t="s">
        <v>12</v>
      </c>
      <c r="D827" s="2" t="str">
        <f t="shared" si="60"/>
        <v>Apr</v>
      </c>
      <c r="E827" s="25" t="s">
        <v>161</v>
      </c>
      <c r="F827" s="21" t="s">
        <v>162</v>
      </c>
      <c r="G827" s="21" t="s">
        <v>163</v>
      </c>
      <c r="H827" s="21" t="s">
        <v>187</v>
      </c>
      <c r="I827" s="8">
        <v>55000</v>
      </c>
      <c r="J827" s="8">
        <v>55000</v>
      </c>
      <c r="K827" s="9" t="s">
        <v>45</v>
      </c>
      <c r="L827">
        <f t="shared" si="61"/>
        <v>3</v>
      </c>
      <c r="M827">
        <f t="shared" ca="1" si="64"/>
        <v>41</v>
      </c>
      <c r="N827" s="15">
        <f t="shared" si="62"/>
        <v>0</v>
      </c>
      <c r="O827" t="str">
        <f t="shared" ca="1" si="63"/>
        <v>31-60 Days</v>
      </c>
    </row>
    <row r="828" spans="1:15" x14ac:dyDescent="0.3">
      <c r="A828" s="2" t="s">
        <v>1348</v>
      </c>
      <c r="B828" s="3" t="s">
        <v>519</v>
      </c>
      <c r="C828" s="2" t="s">
        <v>12</v>
      </c>
      <c r="D828" s="2" t="str">
        <f t="shared" si="60"/>
        <v>Mar</v>
      </c>
      <c r="E828" s="24" t="s">
        <v>106</v>
      </c>
      <c r="F828" s="20" t="s">
        <v>470</v>
      </c>
      <c r="G828" s="20" t="s">
        <v>161</v>
      </c>
      <c r="H828" s="20" t="s">
        <v>422</v>
      </c>
      <c r="I828" s="4">
        <v>55000</v>
      </c>
      <c r="J828" s="4">
        <v>55000</v>
      </c>
      <c r="K828" s="5" t="s">
        <v>17</v>
      </c>
      <c r="L828">
        <f t="shared" si="61"/>
        <v>2</v>
      </c>
      <c r="M828">
        <f t="shared" ca="1" si="64"/>
        <v>23</v>
      </c>
      <c r="N828" s="15">
        <f t="shared" si="62"/>
        <v>0</v>
      </c>
      <c r="O828" t="str">
        <f t="shared" ca="1" si="63"/>
        <v>0-30 Days</v>
      </c>
    </row>
    <row r="829" spans="1:15" x14ac:dyDescent="0.3">
      <c r="A829" s="6" t="s">
        <v>1349</v>
      </c>
      <c r="B829" s="7" t="s">
        <v>415</v>
      </c>
      <c r="C829" s="6" t="s">
        <v>12</v>
      </c>
      <c r="D829" s="2" t="str">
        <f t="shared" si="60"/>
        <v>Dec</v>
      </c>
      <c r="E829" s="25" t="s">
        <v>390</v>
      </c>
      <c r="F829" s="21" t="s">
        <v>138</v>
      </c>
      <c r="G829" s="21" t="s">
        <v>1065</v>
      </c>
      <c r="H829" s="21" t="s">
        <v>825</v>
      </c>
      <c r="I829" s="8">
        <v>55000</v>
      </c>
      <c r="J829" s="8">
        <v>55000</v>
      </c>
      <c r="K829" s="5" t="s">
        <v>17</v>
      </c>
      <c r="L829">
        <f t="shared" si="61"/>
        <v>2</v>
      </c>
      <c r="M829">
        <f t="shared" ca="1" si="64"/>
        <v>18</v>
      </c>
      <c r="N829" s="15">
        <f t="shared" si="62"/>
        <v>0</v>
      </c>
      <c r="O829" t="str">
        <f t="shared" ca="1" si="63"/>
        <v>0-30 Days</v>
      </c>
    </row>
    <row r="830" spans="1:15" x14ac:dyDescent="0.3">
      <c r="A830" s="2" t="s">
        <v>1350</v>
      </c>
      <c r="B830" s="3" t="s">
        <v>144</v>
      </c>
      <c r="C830" s="2" t="s">
        <v>12</v>
      </c>
      <c r="D830" s="2" t="str">
        <f t="shared" si="60"/>
        <v>Sep</v>
      </c>
      <c r="E830" s="24" t="s">
        <v>290</v>
      </c>
      <c r="F830" s="20" t="s">
        <v>62</v>
      </c>
      <c r="G830" s="20" t="s">
        <v>125</v>
      </c>
      <c r="H830" s="20" t="s">
        <v>416</v>
      </c>
      <c r="I830" s="4">
        <v>5000</v>
      </c>
      <c r="J830" s="4">
        <v>5000</v>
      </c>
      <c r="K830" s="5" t="s">
        <v>17</v>
      </c>
      <c r="L830">
        <f t="shared" si="61"/>
        <v>1</v>
      </c>
      <c r="M830">
        <f t="shared" ca="1" si="64"/>
        <v>6</v>
      </c>
      <c r="N830" s="15">
        <f t="shared" si="62"/>
        <v>0</v>
      </c>
      <c r="O830" t="str">
        <f t="shared" ca="1" si="63"/>
        <v>0-30 Days</v>
      </c>
    </row>
    <row r="831" spans="1:15" x14ac:dyDescent="0.3">
      <c r="A831" s="6" t="s">
        <v>1351</v>
      </c>
      <c r="B831" s="7" t="s">
        <v>415</v>
      </c>
      <c r="C831" s="6" t="s">
        <v>12</v>
      </c>
      <c r="D831" s="2" t="str">
        <f t="shared" si="60"/>
        <v>Jan</v>
      </c>
      <c r="E831" s="25" t="s">
        <v>104</v>
      </c>
      <c r="F831" s="21" t="s">
        <v>105</v>
      </c>
      <c r="G831" s="21" t="s">
        <v>106</v>
      </c>
      <c r="H831" s="21"/>
      <c r="I831" s="8">
        <v>50000</v>
      </c>
      <c r="J831" s="8">
        <v>0</v>
      </c>
      <c r="K831" s="12" t="s">
        <v>71</v>
      </c>
      <c r="L831">
        <f t="shared" si="61"/>
        <v>1</v>
      </c>
      <c r="M831">
        <f t="shared" ca="1" si="64"/>
        <v>502</v>
      </c>
      <c r="N831" s="15">
        <f t="shared" si="62"/>
        <v>50000</v>
      </c>
      <c r="O831" t="str">
        <f t="shared" ca="1" si="63"/>
        <v>90+ Days</v>
      </c>
    </row>
    <row r="832" spans="1:15" x14ac:dyDescent="0.3">
      <c r="A832" s="2" t="s">
        <v>1352</v>
      </c>
      <c r="B832" s="3" t="s">
        <v>84</v>
      </c>
      <c r="C832" s="2" t="s">
        <v>12</v>
      </c>
      <c r="D832" s="2" t="str">
        <f t="shared" si="60"/>
        <v>May</v>
      </c>
      <c r="E832" s="24" t="s">
        <v>385</v>
      </c>
      <c r="F832" s="20" t="s">
        <v>522</v>
      </c>
      <c r="G832" s="20" t="s">
        <v>353</v>
      </c>
      <c r="H832" s="20" t="s">
        <v>560</v>
      </c>
      <c r="I832" s="4">
        <v>50000</v>
      </c>
      <c r="J832" s="4">
        <v>50000</v>
      </c>
      <c r="K832" s="5" t="s">
        <v>17</v>
      </c>
      <c r="L832">
        <f t="shared" si="61"/>
        <v>3</v>
      </c>
      <c r="M832">
        <f t="shared" ca="1" si="64"/>
        <v>6</v>
      </c>
      <c r="N832" s="15">
        <f t="shared" si="62"/>
        <v>0</v>
      </c>
      <c r="O832" t="str">
        <f t="shared" ca="1" si="63"/>
        <v>0-30 Days</v>
      </c>
    </row>
    <row r="833" spans="1:15" x14ac:dyDescent="0.3">
      <c r="A833" s="6" t="s">
        <v>1353</v>
      </c>
      <c r="B833" s="7" t="s">
        <v>434</v>
      </c>
      <c r="C833" s="6" t="s">
        <v>12</v>
      </c>
      <c r="D833" s="2" t="str">
        <f t="shared" si="60"/>
        <v>Jun</v>
      </c>
      <c r="E833" s="25" t="s">
        <v>507</v>
      </c>
      <c r="F833" s="21" t="s">
        <v>517</v>
      </c>
      <c r="G833" s="21" t="s">
        <v>354</v>
      </c>
      <c r="H833" s="21" t="s">
        <v>1132</v>
      </c>
      <c r="I833" s="8">
        <v>55000</v>
      </c>
      <c r="J833" s="8">
        <v>55000</v>
      </c>
      <c r="K833" s="5" t="s">
        <v>17</v>
      </c>
      <c r="L833">
        <f t="shared" si="61"/>
        <v>1</v>
      </c>
      <c r="M833">
        <f t="shared" ca="1" si="64"/>
        <v>19</v>
      </c>
      <c r="N833" s="15">
        <f t="shared" si="62"/>
        <v>0</v>
      </c>
      <c r="O833" t="str">
        <f t="shared" ca="1" si="63"/>
        <v>0-30 Days</v>
      </c>
    </row>
    <row r="834" spans="1:15" x14ac:dyDescent="0.3">
      <c r="A834" s="2" t="s">
        <v>1354</v>
      </c>
      <c r="B834" s="3" t="s">
        <v>234</v>
      </c>
      <c r="C834" s="2" t="s">
        <v>40</v>
      </c>
      <c r="D834" s="2" t="str">
        <f t="shared" si="60"/>
        <v>Nov</v>
      </c>
      <c r="E834" s="24" t="s">
        <v>495</v>
      </c>
      <c r="F834" s="20" t="s">
        <v>36</v>
      </c>
      <c r="G834" s="20" t="s">
        <v>145</v>
      </c>
      <c r="H834" s="20"/>
      <c r="I834" s="4">
        <v>55000</v>
      </c>
      <c r="J834" s="4">
        <v>0</v>
      </c>
      <c r="K834" s="10" t="s">
        <v>57</v>
      </c>
      <c r="L834">
        <f t="shared" si="61"/>
        <v>3</v>
      </c>
      <c r="M834">
        <f t="shared" ca="1" si="64"/>
        <v>213</v>
      </c>
      <c r="N834" s="15">
        <f t="shared" si="62"/>
        <v>55000</v>
      </c>
      <c r="O834" t="str">
        <f t="shared" ca="1" si="63"/>
        <v>90+ Days</v>
      </c>
    </row>
    <row r="835" spans="1:15" x14ac:dyDescent="0.3">
      <c r="A835" s="6" t="s">
        <v>1355</v>
      </c>
      <c r="B835" s="7" t="s">
        <v>306</v>
      </c>
      <c r="C835" s="6" t="s">
        <v>12</v>
      </c>
      <c r="D835" s="2" t="str">
        <f t="shared" ref="D835:D898" si="65">MID(E835, 4, 3)</f>
        <v>Nov</v>
      </c>
      <c r="E835" s="25" t="s">
        <v>91</v>
      </c>
      <c r="F835" s="21" t="s">
        <v>301</v>
      </c>
      <c r="G835" s="21" t="s">
        <v>653</v>
      </c>
      <c r="H835" s="21" t="s">
        <v>544</v>
      </c>
      <c r="I835" s="8">
        <v>12000</v>
      </c>
      <c r="J835" s="8">
        <v>12000</v>
      </c>
      <c r="K835" s="5" t="s">
        <v>17</v>
      </c>
      <c r="L835">
        <f t="shared" ref="L835:L898" si="66">F835-E835</f>
        <v>3</v>
      </c>
      <c r="M835">
        <f t="shared" ca="1" si="64"/>
        <v>27</v>
      </c>
      <c r="N835" s="15">
        <f t="shared" ref="N835:N898" si="67">I835-J835</f>
        <v>0</v>
      </c>
      <c r="O835" t="str">
        <f t="shared" ref="O835:O898" ca="1" si="68">IF(M835&lt;=30,"0-30 Days",
IF(M835&lt;=60,"31-60 Days",
IF(M835&lt;=90,"61-90 Days","90+ Days")))</f>
        <v>0-30 Days</v>
      </c>
    </row>
    <row r="836" spans="1:15" x14ac:dyDescent="0.3">
      <c r="A836" s="2" t="s">
        <v>1356</v>
      </c>
      <c r="B836" s="3" t="s">
        <v>297</v>
      </c>
      <c r="C836" s="2" t="s">
        <v>26</v>
      </c>
      <c r="D836" s="2" t="str">
        <f t="shared" si="65"/>
        <v>Dec</v>
      </c>
      <c r="E836" s="24" t="s">
        <v>190</v>
      </c>
      <c r="F836" s="20" t="s">
        <v>579</v>
      </c>
      <c r="G836" s="20" t="s">
        <v>788</v>
      </c>
      <c r="H836" s="20" t="s">
        <v>817</v>
      </c>
      <c r="I836" s="4">
        <v>8000</v>
      </c>
      <c r="J836" s="4">
        <v>4000</v>
      </c>
      <c r="K836" s="13" t="s">
        <v>113</v>
      </c>
      <c r="L836">
        <f t="shared" si="66"/>
        <v>3</v>
      </c>
      <c r="M836">
        <f t="shared" ref="M836:M899" ca="1" si="69">IF(H836="",TODAY()-F836,H836-F836)</f>
        <v>29</v>
      </c>
      <c r="N836" s="15">
        <f t="shared" si="67"/>
        <v>4000</v>
      </c>
      <c r="O836" t="str">
        <f t="shared" ca="1" si="68"/>
        <v>0-30 Days</v>
      </c>
    </row>
    <row r="837" spans="1:15" x14ac:dyDescent="0.3">
      <c r="A837" s="6" t="s">
        <v>1357</v>
      </c>
      <c r="B837" s="7" t="s">
        <v>258</v>
      </c>
      <c r="C837" s="6" t="s">
        <v>33</v>
      </c>
      <c r="D837" s="2" t="str">
        <f t="shared" si="65"/>
        <v>Dec</v>
      </c>
      <c r="E837" s="25" t="s">
        <v>573</v>
      </c>
      <c r="F837" s="21" t="s">
        <v>98</v>
      </c>
      <c r="G837" s="21" t="s">
        <v>530</v>
      </c>
      <c r="H837" s="21" t="s">
        <v>192</v>
      </c>
      <c r="I837" s="8">
        <v>55000</v>
      </c>
      <c r="J837" s="8">
        <v>55000</v>
      </c>
      <c r="K837" s="5" t="s">
        <v>17</v>
      </c>
      <c r="L837">
        <f t="shared" si="66"/>
        <v>2</v>
      </c>
      <c r="M837">
        <f t="shared" ca="1" si="69"/>
        <v>28</v>
      </c>
      <c r="N837" s="15">
        <f t="shared" si="67"/>
        <v>0</v>
      </c>
      <c r="O837" t="str">
        <f t="shared" ca="1" si="68"/>
        <v>0-30 Days</v>
      </c>
    </row>
    <row r="838" spans="1:15" x14ac:dyDescent="0.3">
      <c r="A838" s="2" t="s">
        <v>1358</v>
      </c>
      <c r="B838" s="3" t="s">
        <v>570</v>
      </c>
      <c r="C838" s="2" t="s">
        <v>33</v>
      </c>
      <c r="D838" s="2" t="str">
        <f t="shared" si="65"/>
        <v>Apr</v>
      </c>
      <c r="E838" s="24" t="s">
        <v>467</v>
      </c>
      <c r="F838" s="20" t="s">
        <v>538</v>
      </c>
      <c r="G838" s="20" t="s">
        <v>151</v>
      </c>
      <c r="H838" s="20"/>
      <c r="I838" s="4">
        <v>22000</v>
      </c>
      <c r="J838" s="4">
        <v>0</v>
      </c>
      <c r="K838" s="10" t="s">
        <v>57</v>
      </c>
      <c r="L838">
        <f t="shared" si="66"/>
        <v>3</v>
      </c>
      <c r="M838">
        <f t="shared" ca="1" si="69"/>
        <v>425</v>
      </c>
      <c r="N838" s="15">
        <f t="shared" si="67"/>
        <v>22000</v>
      </c>
      <c r="O838" t="str">
        <f t="shared" ca="1" si="68"/>
        <v>90+ Days</v>
      </c>
    </row>
    <row r="839" spans="1:15" x14ac:dyDescent="0.3">
      <c r="A839" s="6" t="s">
        <v>1359</v>
      </c>
      <c r="B839" s="7" t="s">
        <v>11</v>
      </c>
      <c r="C839" s="6" t="s">
        <v>12</v>
      </c>
      <c r="D839" s="2" t="str">
        <f t="shared" si="65"/>
        <v>Dec</v>
      </c>
      <c r="E839" s="25" t="s">
        <v>167</v>
      </c>
      <c r="F839" s="21" t="s">
        <v>390</v>
      </c>
      <c r="G839" s="21" t="s">
        <v>545</v>
      </c>
      <c r="H839" s="21"/>
      <c r="I839" s="8">
        <v>100000</v>
      </c>
      <c r="J839" s="8">
        <v>0</v>
      </c>
      <c r="K839" s="12" t="s">
        <v>71</v>
      </c>
      <c r="L839">
        <f t="shared" si="66"/>
        <v>3</v>
      </c>
      <c r="M839">
        <f t="shared" ca="1" si="69"/>
        <v>168</v>
      </c>
      <c r="N839" s="15">
        <f t="shared" si="67"/>
        <v>100000</v>
      </c>
      <c r="O839" t="str">
        <f t="shared" ca="1" si="68"/>
        <v>90+ Days</v>
      </c>
    </row>
    <row r="840" spans="1:15" x14ac:dyDescent="0.3">
      <c r="A840" s="2" t="s">
        <v>1360</v>
      </c>
      <c r="B840" s="3" t="s">
        <v>170</v>
      </c>
      <c r="C840" s="2" t="s">
        <v>12</v>
      </c>
      <c r="D840" s="2" t="str">
        <f t="shared" si="65"/>
        <v>Nov</v>
      </c>
      <c r="E840" s="24" t="s">
        <v>447</v>
      </c>
      <c r="F840" s="20" t="s">
        <v>128</v>
      </c>
      <c r="G840" s="20" t="s">
        <v>75</v>
      </c>
      <c r="H840" s="20" t="s">
        <v>373</v>
      </c>
      <c r="I840" s="4">
        <v>30000</v>
      </c>
      <c r="J840" s="4">
        <v>30000</v>
      </c>
      <c r="K840" s="5" t="s">
        <v>17</v>
      </c>
      <c r="L840">
        <f t="shared" si="66"/>
        <v>1</v>
      </c>
      <c r="M840">
        <f t="shared" ca="1" si="69"/>
        <v>10</v>
      </c>
      <c r="N840" s="15">
        <f t="shared" si="67"/>
        <v>0</v>
      </c>
      <c r="O840" t="str">
        <f t="shared" ca="1" si="68"/>
        <v>0-30 Days</v>
      </c>
    </row>
    <row r="841" spans="1:15" x14ac:dyDescent="0.3">
      <c r="A841" s="6" t="s">
        <v>1361</v>
      </c>
      <c r="B841" s="7" t="s">
        <v>90</v>
      </c>
      <c r="C841" s="6" t="s">
        <v>12</v>
      </c>
      <c r="D841" s="2" t="str">
        <f t="shared" si="65"/>
        <v>Feb</v>
      </c>
      <c r="E841" s="25" t="s">
        <v>649</v>
      </c>
      <c r="F841" s="21" t="s">
        <v>429</v>
      </c>
      <c r="G841" s="21" t="s">
        <v>82</v>
      </c>
      <c r="H841" s="21"/>
      <c r="I841" s="8">
        <v>25000</v>
      </c>
      <c r="J841" s="8">
        <v>0</v>
      </c>
      <c r="K841" s="12" t="s">
        <v>71</v>
      </c>
      <c r="L841">
        <f t="shared" si="66"/>
        <v>1</v>
      </c>
      <c r="M841">
        <f t="shared" ca="1" si="69"/>
        <v>492</v>
      </c>
      <c r="N841" s="15">
        <f t="shared" si="67"/>
        <v>25000</v>
      </c>
      <c r="O841" t="str">
        <f t="shared" ca="1" si="68"/>
        <v>90+ Days</v>
      </c>
    </row>
    <row r="842" spans="1:15" x14ac:dyDescent="0.3">
      <c r="A842" s="2" t="s">
        <v>1362</v>
      </c>
      <c r="B842" s="3" t="s">
        <v>702</v>
      </c>
      <c r="C842" s="2" t="s">
        <v>40</v>
      </c>
      <c r="D842" s="2" t="str">
        <f t="shared" si="65"/>
        <v>Jul</v>
      </c>
      <c r="E842" s="24" t="s">
        <v>194</v>
      </c>
      <c r="F842" s="20" t="s">
        <v>888</v>
      </c>
      <c r="G842" s="20" t="s">
        <v>730</v>
      </c>
      <c r="H842" s="20" t="s">
        <v>523</v>
      </c>
      <c r="I842" s="4">
        <v>18000</v>
      </c>
      <c r="J842" s="4">
        <v>18000</v>
      </c>
      <c r="K842" s="5" t="s">
        <v>17</v>
      </c>
      <c r="L842">
        <f t="shared" si="66"/>
        <v>1</v>
      </c>
      <c r="M842">
        <f t="shared" ca="1" si="69"/>
        <v>13</v>
      </c>
      <c r="N842" s="15">
        <f t="shared" si="67"/>
        <v>0</v>
      </c>
      <c r="O842" t="str">
        <f t="shared" ca="1" si="68"/>
        <v>0-30 Days</v>
      </c>
    </row>
    <row r="843" spans="1:15" x14ac:dyDescent="0.3">
      <c r="A843" s="6" t="s">
        <v>1363</v>
      </c>
      <c r="B843" s="7" t="s">
        <v>285</v>
      </c>
      <c r="C843" s="6" t="s">
        <v>12</v>
      </c>
      <c r="D843" s="2" t="str">
        <f t="shared" si="65"/>
        <v>Mar</v>
      </c>
      <c r="E843" s="25" t="s">
        <v>298</v>
      </c>
      <c r="F843" s="21" t="s">
        <v>22</v>
      </c>
      <c r="G843" s="21" t="s">
        <v>412</v>
      </c>
      <c r="H843" s="21" t="s">
        <v>576</v>
      </c>
      <c r="I843" s="8">
        <v>50000</v>
      </c>
      <c r="J843" s="8">
        <v>50000</v>
      </c>
      <c r="K843" s="5" t="s">
        <v>17</v>
      </c>
      <c r="L843">
        <f t="shared" si="66"/>
        <v>3</v>
      </c>
      <c r="M843">
        <f t="shared" ca="1" si="69"/>
        <v>19</v>
      </c>
      <c r="N843" s="15">
        <f t="shared" si="67"/>
        <v>0</v>
      </c>
      <c r="O843" t="str">
        <f t="shared" ca="1" si="68"/>
        <v>0-30 Days</v>
      </c>
    </row>
    <row r="844" spans="1:15" x14ac:dyDescent="0.3">
      <c r="A844" s="2" t="s">
        <v>1364</v>
      </c>
      <c r="B844" s="3" t="s">
        <v>519</v>
      </c>
      <c r="C844" s="2" t="s">
        <v>12</v>
      </c>
      <c r="D844" s="2" t="str">
        <f t="shared" si="65"/>
        <v>Mar</v>
      </c>
      <c r="E844" s="24" t="s">
        <v>48</v>
      </c>
      <c r="F844" s="20" t="s">
        <v>49</v>
      </c>
      <c r="G844" s="20" t="s">
        <v>50</v>
      </c>
      <c r="H844" s="20" t="s">
        <v>15</v>
      </c>
      <c r="I844" s="4">
        <v>20000</v>
      </c>
      <c r="J844" s="4">
        <v>15000</v>
      </c>
      <c r="K844" s="13" t="s">
        <v>113</v>
      </c>
      <c r="L844">
        <f t="shared" si="66"/>
        <v>1</v>
      </c>
      <c r="M844">
        <f t="shared" ca="1" si="69"/>
        <v>8</v>
      </c>
      <c r="N844" s="15">
        <f t="shared" si="67"/>
        <v>5000</v>
      </c>
      <c r="O844" t="str">
        <f t="shared" ca="1" si="68"/>
        <v>0-30 Days</v>
      </c>
    </row>
    <row r="845" spans="1:15" x14ac:dyDescent="0.3">
      <c r="A845" s="6" t="s">
        <v>1365</v>
      </c>
      <c r="B845" s="7" t="s">
        <v>300</v>
      </c>
      <c r="C845" s="6" t="s">
        <v>12</v>
      </c>
      <c r="D845" s="2" t="str">
        <f t="shared" si="65"/>
        <v>Dec</v>
      </c>
      <c r="E845" s="25" t="s">
        <v>74</v>
      </c>
      <c r="F845" s="21" t="s">
        <v>168</v>
      </c>
      <c r="G845" s="21" t="s">
        <v>304</v>
      </c>
      <c r="H845" s="21"/>
      <c r="I845" s="8">
        <v>35000</v>
      </c>
      <c r="J845" s="8">
        <v>0</v>
      </c>
      <c r="K845" s="12" t="s">
        <v>71</v>
      </c>
      <c r="L845">
        <f t="shared" si="66"/>
        <v>2</v>
      </c>
      <c r="M845">
        <f t="shared" ca="1" si="69"/>
        <v>191</v>
      </c>
      <c r="N845" s="15">
        <f t="shared" si="67"/>
        <v>35000</v>
      </c>
      <c r="O845" t="str">
        <f t="shared" ca="1" si="68"/>
        <v>90+ Days</v>
      </c>
    </row>
    <row r="846" spans="1:15" x14ac:dyDescent="0.3">
      <c r="A846" s="2" t="s">
        <v>1366</v>
      </c>
      <c r="B846" s="3" t="s">
        <v>521</v>
      </c>
      <c r="C846" s="2" t="s">
        <v>33</v>
      </c>
      <c r="D846" s="2" t="str">
        <f t="shared" si="65"/>
        <v>Jul</v>
      </c>
      <c r="E846" s="24" t="s">
        <v>54</v>
      </c>
      <c r="F846" s="20" t="s">
        <v>44</v>
      </c>
      <c r="G846" s="20" t="s">
        <v>333</v>
      </c>
      <c r="H846" s="20" t="s">
        <v>888</v>
      </c>
      <c r="I846" s="4">
        <v>75000</v>
      </c>
      <c r="J846" s="4">
        <v>75000</v>
      </c>
      <c r="K846" s="5" t="s">
        <v>17</v>
      </c>
      <c r="L846">
        <f t="shared" si="66"/>
        <v>1</v>
      </c>
      <c r="M846">
        <f t="shared" ca="1" si="69"/>
        <v>10</v>
      </c>
      <c r="N846" s="15">
        <f t="shared" si="67"/>
        <v>0</v>
      </c>
      <c r="O846" t="str">
        <f t="shared" ca="1" si="68"/>
        <v>0-30 Days</v>
      </c>
    </row>
    <row r="847" spans="1:15" x14ac:dyDescent="0.3">
      <c r="A847" s="6" t="s">
        <v>1367</v>
      </c>
      <c r="B847" s="7" t="s">
        <v>487</v>
      </c>
      <c r="C847" s="6" t="s">
        <v>33</v>
      </c>
      <c r="D847" s="2" t="str">
        <f t="shared" si="65"/>
        <v>Feb</v>
      </c>
      <c r="E847" s="25" t="s">
        <v>200</v>
      </c>
      <c r="F847" s="21" t="s">
        <v>638</v>
      </c>
      <c r="G847" s="21" t="s">
        <v>16</v>
      </c>
      <c r="H847" s="21" t="s">
        <v>106</v>
      </c>
      <c r="I847" s="8">
        <v>25000</v>
      </c>
      <c r="J847" s="8">
        <v>25000</v>
      </c>
      <c r="K847" s="5" t="s">
        <v>17</v>
      </c>
      <c r="L847">
        <f t="shared" si="66"/>
        <v>3</v>
      </c>
      <c r="M847">
        <f t="shared" ca="1" si="69"/>
        <v>22</v>
      </c>
      <c r="N847" s="15">
        <f t="shared" si="67"/>
        <v>0</v>
      </c>
      <c r="O847" t="str">
        <f t="shared" ca="1" si="68"/>
        <v>0-30 Days</v>
      </c>
    </row>
    <row r="848" spans="1:15" x14ac:dyDescent="0.3">
      <c r="A848" s="2" t="s">
        <v>1368</v>
      </c>
      <c r="B848" s="3" t="s">
        <v>108</v>
      </c>
      <c r="C848" s="2" t="s">
        <v>12</v>
      </c>
      <c r="D848" s="2" t="str">
        <f t="shared" si="65"/>
        <v>Feb</v>
      </c>
      <c r="E848" s="24" t="s">
        <v>247</v>
      </c>
      <c r="F848" s="20" t="s">
        <v>265</v>
      </c>
      <c r="G848" s="20" t="s">
        <v>48</v>
      </c>
      <c r="H848" s="20" t="s">
        <v>976</v>
      </c>
      <c r="I848" s="4">
        <v>40000</v>
      </c>
      <c r="J848" s="4">
        <v>20000</v>
      </c>
      <c r="K848" s="13" t="s">
        <v>113</v>
      </c>
      <c r="L848">
        <f t="shared" si="66"/>
        <v>2</v>
      </c>
      <c r="M848">
        <f t="shared" ca="1" si="69"/>
        <v>26</v>
      </c>
      <c r="N848" s="15">
        <f t="shared" si="67"/>
        <v>20000</v>
      </c>
      <c r="O848" t="str">
        <f t="shared" ca="1" si="68"/>
        <v>0-30 Days</v>
      </c>
    </row>
    <row r="849" spans="1:15" x14ac:dyDescent="0.3">
      <c r="A849" s="6" t="s">
        <v>1369</v>
      </c>
      <c r="B849" s="7" t="s">
        <v>176</v>
      </c>
      <c r="C849" s="6" t="s">
        <v>12</v>
      </c>
      <c r="D849" s="2" t="str">
        <f t="shared" si="65"/>
        <v>May</v>
      </c>
      <c r="E849" s="25" t="s">
        <v>506</v>
      </c>
      <c r="F849" s="21" t="s">
        <v>507</v>
      </c>
      <c r="G849" s="21" t="s">
        <v>178</v>
      </c>
      <c r="H849" s="21" t="s">
        <v>43</v>
      </c>
      <c r="I849" s="8">
        <v>45000</v>
      </c>
      <c r="J849" s="8">
        <v>45000</v>
      </c>
      <c r="K849" s="5" t="s">
        <v>17</v>
      </c>
      <c r="L849">
        <f t="shared" si="66"/>
        <v>1</v>
      </c>
      <c r="M849">
        <f t="shared" ca="1" si="69"/>
        <v>22</v>
      </c>
      <c r="N849" s="15">
        <f t="shared" si="67"/>
        <v>0</v>
      </c>
      <c r="O849" t="str">
        <f t="shared" ca="1" si="68"/>
        <v>0-30 Days</v>
      </c>
    </row>
    <row r="850" spans="1:15" x14ac:dyDescent="0.3">
      <c r="A850" s="2" t="s">
        <v>1370</v>
      </c>
      <c r="B850" s="3" t="s">
        <v>150</v>
      </c>
      <c r="C850" s="2" t="s">
        <v>33</v>
      </c>
      <c r="D850" s="2" t="str">
        <f t="shared" si="65"/>
        <v>Nov</v>
      </c>
      <c r="E850" s="24" t="s">
        <v>92</v>
      </c>
      <c r="F850" s="20" t="s">
        <v>465</v>
      </c>
      <c r="G850" s="20" t="s">
        <v>390</v>
      </c>
      <c r="H850" s="20" t="s">
        <v>615</v>
      </c>
      <c r="I850" s="4">
        <v>15000</v>
      </c>
      <c r="J850" s="4">
        <v>15000</v>
      </c>
      <c r="K850" s="9" t="s">
        <v>45</v>
      </c>
      <c r="L850">
        <f t="shared" si="66"/>
        <v>1</v>
      </c>
      <c r="M850">
        <f t="shared" ca="1" si="69"/>
        <v>45</v>
      </c>
      <c r="N850" s="15">
        <f t="shared" si="67"/>
        <v>0</v>
      </c>
      <c r="O850" t="str">
        <f t="shared" ca="1" si="68"/>
        <v>31-60 Days</v>
      </c>
    </row>
    <row r="851" spans="1:15" x14ac:dyDescent="0.3">
      <c r="A851" s="6" t="s">
        <v>1371</v>
      </c>
      <c r="B851" s="7" t="s">
        <v>601</v>
      </c>
      <c r="C851" s="6" t="s">
        <v>40</v>
      </c>
      <c r="D851" s="2" t="str">
        <f t="shared" si="65"/>
        <v>Nov</v>
      </c>
      <c r="E851" s="25" t="s">
        <v>271</v>
      </c>
      <c r="F851" s="21" t="s">
        <v>91</v>
      </c>
      <c r="G851" s="21" t="s">
        <v>544</v>
      </c>
      <c r="H851" s="21"/>
      <c r="I851" s="8">
        <v>40000</v>
      </c>
      <c r="J851" s="8">
        <v>0</v>
      </c>
      <c r="K851" s="11" t="s">
        <v>63</v>
      </c>
      <c r="L851">
        <f t="shared" si="66"/>
        <v>3</v>
      </c>
      <c r="M851">
        <f t="shared" ca="1" si="69"/>
        <v>200</v>
      </c>
      <c r="N851" s="15">
        <f t="shared" si="67"/>
        <v>40000</v>
      </c>
      <c r="O851" t="str">
        <f t="shared" ca="1" si="68"/>
        <v>90+ Days</v>
      </c>
    </row>
    <row r="852" spans="1:15" x14ac:dyDescent="0.3">
      <c r="A852" s="2" t="s">
        <v>1372</v>
      </c>
      <c r="B852" s="3" t="s">
        <v>90</v>
      </c>
      <c r="C852" s="2" t="s">
        <v>12</v>
      </c>
      <c r="D852" s="2" t="str">
        <f t="shared" si="65"/>
        <v>Jun</v>
      </c>
      <c r="E852" s="24" t="s">
        <v>655</v>
      </c>
      <c r="F852" s="20" t="s">
        <v>294</v>
      </c>
      <c r="G852" s="20" t="s">
        <v>345</v>
      </c>
      <c r="H852" s="20" t="s">
        <v>69</v>
      </c>
      <c r="I852" s="4">
        <v>15000</v>
      </c>
      <c r="J852" s="4">
        <v>15000</v>
      </c>
      <c r="K852" s="5" t="s">
        <v>17</v>
      </c>
      <c r="L852">
        <f t="shared" si="66"/>
        <v>2</v>
      </c>
      <c r="M852">
        <f t="shared" ca="1" si="69"/>
        <v>22</v>
      </c>
      <c r="N852" s="15">
        <f t="shared" si="67"/>
        <v>0</v>
      </c>
      <c r="O852" t="str">
        <f t="shared" ca="1" si="68"/>
        <v>0-30 Days</v>
      </c>
    </row>
    <row r="853" spans="1:15" x14ac:dyDescent="0.3">
      <c r="A853" s="6" t="s">
        <v>1373</v>
      </c>
      <c r="B853" s="7" t="s">
        <v>651</v>
      </c>
      <c r="C853" s="6" t="s">
        <v>12</v>
      </c>
      <c r="D853" s="2" t="str">
        <f t="shared" si="65"/>
        <v>May</v>
      </c>
      <c r="E853" s="25" t="s">
        <v>426</v>
      </c>
      <c r="F853" s="21" t="s">
        <v>842</v>
      </c>
      <c r="G853" s="21" t="s">
        <v>310</v>
      </c>
      <c r="H853" s="21"/>
      <c r="I853" s="8">
        <v>45000</v>
      </c>
      <c r="J853" s="8">
        <v>0</v>
      </c>
      <c r="K853" s="10" t="s">
        <v>57</v>
      </c>
      <c r="L853">
        <f t="shared" si="66"/>
        <v>1</v>
      </c>
      <c r="M853">
        <f t="shared" ca="1" si="69"/>
        <v>386</v>
      </c>
      <c r="N853" s="15">
        <f t="shared" si="67"/>
        <v>45000</v>
      </c>
      <c r="O853" t="str">
        <f t="shared" ca="1" si="68"/>
        <v>90+ Days</v>
      </c>
    </row>
    <row r="854" spans="1:15" x14ac:dyDescent="0.3">
      <c r="A854" s="2" t="s">
        <v>1374</v>
      </c>
      <c r="B854" s="3" t="s">
        <v>658</v>
      </c>
      <c r="C854" s="2" t="s">
        <v>12</v>
      </c>
      <c r="D854" s="2" t="str">
        <f t="shared" si="65"/>
        <v>Sep</v>
      </c>
      <c r="E854" s="24" t="s">
        <v>158</v>
      </c>
      <c r="F854" s="20" t="s">
        <v>118</v>
      </c>
      <c r="G854" s="20" t="s">
        <v>273</v>
      </c>
      <c r="H854" s="20" t="s">
        <v>174</v>
      </c>
      <c r="I854" s="4">
        <v>22000</v>
      </c>
      <c r="J854" s="4">
        <v>22000</v>
      </c>
      <c r="K854" s="5" t="s">
        <v>17</v>
      </c>
      <c r="L854">
        <f t="shared" si="66"/>
        <v>3</v>
      </c>
      <c r="M854">
        <f t="shared" ca="1" si="69"/>
        <v>14</v>
      </c>
      <c r="N854" s="15">
        <f t="shared" si="67"/>
        <v>0</v>
      </c>
      <c r="O854" t="str">
        <f t="shared" ca="1" si="68"/>
        <v>0-30 Days</v>
      </c>
    </row>
    <row r="855" spans="1:15" x14ac:dyDescent="0.3">
      <c r="A855" s="6" t="s">
        <v>1375</v>
      </c>
      <c r="B855" s="7" t="s">
        <v>115</v>
      </c>
      <c r="C855" s="6" t="s">
        <v>12</v>
      </c>
      <c r="D855" s="2" t="str">
        <f t="shared" si="65"/>
        <v>Apr</v>
      </c>
      <c r="E855" s="25" t="s">
        <v>222</v>
      </c>
      <c r="F855" s="21" t="s">
        <v>218</v>
      </c>
      <c r="G855" s="21" t="s">
        <v>366</v>
      </c>
      <c r="H855" s="21" t="s">
        <v>498</v>
      </c>
      <c r="I855" s="8">
        <v>45000</v>
      </c>
      <c r="J855" s="8">
        <v>45000</v>
      </c>
      <c r="K855" s="5" t="s">
        <v>17</v>
      </c>
      <c r="L855">
        <f t="shared" si="66"/>
        <v>2</v>
      </c>
      <c r="M855">
        <f t="shared" ca="1" si="69"/>
        <v>8</v>
      </c>
      <c r="N855" s="15">
        <f t="shared" si="67"/>
        <v>0</v>
      </c>
      <c r="O855" t="str">
        <f t="shared" ca="1" si="68"/>
        <v>0-30 Days</v>
      </c>
    </row>
    <row r="856" spans="1:15" x14ac:dyDescent="0.3">
      <c r="A856" s="2" t="s">
        <v>1376</v>
      </c>
      <c r="B856" s="3" t="s">
        <v>186</v>
      </c>
      <c r="C856" s="2" t="s">
        <v>26</v>
      </c>
      <c r="D856" s="2" t="str">
        <f t="shared" si="65"/>
        <v>Oct</v>
      </c>
      <c r="E856" s="24" t="s">
        <v>597</v>
      </c>
      <c r="F856" s="20" t="s">
        <v>647</v>
      </c>
      <c r="G856" s="20" t="s">
        <v>447</v>
      </c>
      <c r="H856" s="20" t="s">
        <v>495</v>
      </c>
      <c r="I856" s="4">
        <v>5000</v>
      </c>
      <c r="J856" s="4">
        <v>5000</v>
      </c>
      <c r="K856" s="9" t="s">
        <v>45</v>
      </c>
      <c r="L856">
        <f t="shared" si="66"/>
        <v>3</v>
      </c>
      <c r="M856">
        <f t="shared" ca="1" si="69"/>
        <v>37</v>
      </c>
      <c r="N856" s="15">
        <f t="shared" si="67"/>
        <v>0</v>
      </c>
      <c r="O856" t="str">
        <f t="shared" ca="1" si="68"/>
        <v>31-60 Days</v>
      </c>
    </row>
    <row r="857" spans="1:15" x14ac:dyDescent="0.3">
      <c r="A857" s="6" t="s">
        <v>1377</v>
      </c>
      <c r="B857" s="7" t="s">
        <v>415</v>
      </c>
      <c r="C857" s="6" t="s">
        <v>12</v>
      </c>
      <c r="D857" s="2" t="str">
        <f t="shared" si="65"/>
        <v>Nov</v>
      </c>
      <c r="E857" s="25" t="s">
        <v>137</v>
      </c>
      <c r="F857" s="21" t="s">
        <v>547</v>
      </c>
      <c r="G857" s="21" t="s">
        <v>189</v>
      </c>
      <c r="H857" s="21"/>
      <c r="I857" s="8">
        <v>18000</v>
      </c>
      <c r="J857" s="8">
        <v>0</v>
      </c>
      <c r="K857" s="10" t="s">
        <v>57</v>
      </c>
      <c r="L857">
        <f t="shared" si="66"/>
        <v>1</v>
      </c>
      <c r="M857">
        <f t="shared" ca="1" si="69"/>
        <v>208</v>
      </c>
      <c r="N857" s="15">
        <f t="shared" si="67"/>
        <v>18000</v>
      </c>
      <c r="O857" t="str">
        <f t="shared" ca="1" si="68"/>
        <v>90+ Days</v>
      </c>
    </row>
    <row r="858" spans="1:15" x14ac:dyDescent="0.3">
      <c r="A858" s="2" t="s">
        <v>1378</v>
      </c>
      <c r="B858" s="3" t="s">
        <v>280</v>
      </c>
      <c r="C858" s="2" t="s">
        <v>33</v>
      </c>
      <c r="D858" s="2" t="str">
        <f t="shared" si="65"/>
        <v>Oct</v>
      </c>
      <c r="E858" s="24" t="s">
        <v>597</v>
      </c>
      <c r="F858" s="20" t="s">
        <v>647</v>
      </c>
      <c r="G858" s="20" t="s">
        <v>447</v>
      </c>
      <c r="H858" s="20" t="s">
        <v>674</v>
      </c>
      <c r="I858" s="4">
        <v>18000</v>
      </c>
      <c r="J858" s="4">
        <v>18000</v>
      </c>
      <c r="K858" s="9" t="s">
        <v>45</v>
      </c>
      <c r="L858">
        <f t="shared" si="66"/>
        <v>3</v>
      </c>
      <c r="M858">
        <f t="shared" ca="1" si="69"/>
        <v>33</v>
      </c>
      <c r="N858" s="15">
        <f t="shared" si="67"/>
        <v>0</v>
      </c>
      <c r="O858" t="str">
        <f t="shared" ca="1" si="68"/>
        <v>31-60 Days</v>
      </c>
    </row>
    <row r="859" spans="1:15" x14ac:dyDescent="0.3">
      <c r="A859" s="6" t="s">
        <v>1379</v>
      </c>
      <c r="B859" s="7" t="s">
        <v>306</v>
      </c>
      <c r="C859" s="6" t="s">
        <v>12</v>
      </c>
      <c r="D859" s="2" t="str">
        <f t="shared" si="65"/>
        <v>Dec</v>
      </c>
      <c r="E859" s="25" t="s">
        <v>146</v>
      </c>
      <c r="F859" s="21" t="s">
        <v>98</v>
      </c>
      <c r="G859" s="21" t="s">
        <v>530</v>
      </c>
      <c r="H859" s="21" t="s">
        <v>302</v>
      </c>
      <c r="I859" s="8">
        <v>5000</v>
      </c>
      <c r="J859" s="8">
        <v>5000</v>
      </c>
      <c r="K859" s="5" t="s">
        <v>17</v>
      </c>
      <c r="L859">
        <f t="shared" si="66"/>
        <v>1</v>
      </c>
      <c r="M859">
        <f t="shared" ca="1" si="69"/>
        <v>15</v>
      </c>
      <c r="N859" s="15">
        <f t="shared" si="67"/>
        <v>0</v>
      </c>
      <c r="O859" t="str">
        <f t="shared" ca="1" si="68"/>
        <v>0-30 Days</v>
      </c>
    </row>
    <row r="860" spans="1:15" x14ac:dyDescent="0.3">
      <c r="A860" s="2" t="s">
        <v>1380</v>
      </c>
      <c r="B860" s="3" t="s">
        <v>25</v>
      </c>
      <c r="C860" s="2" t="s">
        <v>26</v>
      </c>
      <c r="D860" s="2" t="str">
        <f t="shared" si="65"/>
        <v>Feb</v>
      </c>
      <c r="E860" s="24" t="s">
        <v>502</v>
      </c>
      <c r="F860" s="20" t="s">
        <v>358</v>
      </c>
      <c r="G860" s="20" t="s">
        <v>976</v>
      </c>
      <c r="H860" s="20" t="s">
        <v>14</v>
      </c>
      <c r="I860" s="4">
        <v>8000</v>
      </c>
      <c r="J860" s="4">
        <v>8000</v>
      </c>
      <c r="K860" s="5" t="s">
        <v>17</v>
      </c>
      <c r="L860">
        <f t="shared" si="66"/>
        <v>1</v>
      </c>
      <c r="M860">
        <f t="shared" ca="1" si="69"/>
        <v>13</v>
      </c>
      <c r="N860" s="15">
        <f t="shared" si="67"/>
        <v>0</v>
      </c>
      <c r="O860" t="str">
        <f t="shared" ca="1" si="68"/>
        <v>0-30 Days</v>
      </c>
    </row>
    <row r="861" spans="1:15" x14ac:dyDescent="0.3">
      <c r="A861" s="6" t="s">
        <v>1381</v>
      </c>
      <c r="B861" s="7" t="s">
        <v>660</v>
      </c>
      <c r="C861" s="6" t="s">
        <v>12</v>
      </c>
      <c r="D861" s="2" t="str">
        <f t="shared" si="65"/>
        <v>Feb</v>
      </c>
      <c r="E861" s="25" t="s">
        <v>803</v>
      </c>
      <c r="F861" s="21" t="s">
        <v>429</v>
      </c>
      <c r="G861" s="21" t="s">
        <v>82</v>
      </c>
      <c r="H861" s="21" t="s">
        <v>217</v>
      </c>
      <c r="I861" s="8">
        <v>40000</v>
      </c>
      <c r="J861" s="8">
        <v>20000</v>
      </c>
      <c r="K861" s="13" t="s">
        <v>113</v>
      </c>
      <c r="L861">
        <f t="shared" si="66"/>
        <v>3</v>
      </c>
      <c r="M861">
        <f t="shared" ca="1" si="69"/>
        <v>31</v>
      </c>
      <c r="N861" s="15">
        <f t="shared" si="67"/>
        <v>20000</v>
      </c>
      <c r="O861" t="str">
        <f t="shared" ca="1" si="68"/>
        <v>31-60 Days</v>
      </c>
    </row>
    <row r="862" spans="1:15" x14ac:dyDescent="0.3">
      <c r="A862" s="2" t="s">
        <v>1382</v>
      </c>
      <c r="B862" s="3" t="s">
        <v>420</v>
      </c>
      <c r="C862" s="2" t="s">
        <v>12</v>
      </c>
      <c r="D862" s="2" t="str">
        <f t="shared" si="65"/>
        <v>Nov</v>
      </c>
      <c r="E862" s="24" t="s">
        <v>137</v>
      </c>
      <c r="F862" s="20" t="s">
        <v>603</v>
      </c>
      <c r="G862" s="20" t="s">
        <v>190</v>
      </c>
      <c r="H862" s="20" t="s">
        <v>509</v>
      </c>
      <c r="I862" s="4">
        <v>18000</v>
      </c>
      <c r="J862" s="4">
        <v>18000</v>
      </c>
      <c r="K862" s="5" t="s">
        <v>17</v>
      </c>
      <c r="L862">
        <f t="shared" si="66"/>
        <v>2</v>
      </c>
      <c r="M862">
        <f t="shared" ca="1" si="69"/>
        <v>17</v>
      </c>
      <c r="N862" s="15">
        <f t="shared" si="67"/>
        <v>0</v>
      </c>
      <c r="O862" t="str">
        <f t="shared" ca="1" si="68"/>
        <v>0-30 Days</v>
      </c>
    </row>
    <row r="863" spans="1:15" x14ac:dyDescent="0.3">
      <c r="A863" s="6" t="s">
        <v>1383</v>
      </c>
      <c r="B863" s="7" t="s">
        <v>380</v>
      </c>
      <c r="C863" s="6" t="s">
        <v>12</v>
      </c>
      <c r="D863" s="2" t="str">
        <f t="shared" si="65"/>
        <v>Mar</v>
      </c>
      <c r="E863" s="25" t="s">
        <v>1070</v>
      </c>
      <c r="F863" s="21" t="s">
        <v>232</v>
      </c>
      <c r="G863" s="21" t="s">
        <v>237</v>
      </c>
      <c r="H863" s="21" t="s">
        <v>205</v>
      </c>
      <c r="I863" s="8">
        <v>5000</v>
      </c>
      <c r="J863" s="8">
        <v>5000</v>
      </c>
      <c r="K863" s="9" t="s">
        <v>45</v>
      </c>
      <c r="L863">
        <f t="shared" si="66"/>
        <v>3</v>
      </c>
      <c r="M863">
        <f t="shared" ca="1" si="69"/>
        <v>50</v>
      </c>
      <c r="N863" s="15">
        <f t="shared" si="67"/>
        <v>0</v>
      </c>
      <c r="O863" t="str">
        <f t="shared" ca="1" si="68"/>
        <v>31-60 Days</v>
      </c>
    </row>
    <row r="864" spans="1:15" x14ac:dyDescent="0.3">
      <c r="A864" s="2" t="s">
        <v>1384</v>
      </c>
      <c r="B864" s="3" t="s">
        <v>268</v>
      </c>
      <c r="C864" s="2" t="s">
        <v>33</v>
      </c>
      <c r="D864" s="2" t="str">
        <f t="shared" si="65"/>
        <v>Oct</v>
      </c>
      <c r="E864" s="24" t="s">
        <v>274</v>
      </c>
      <c r="F864" s="20" t="s">
        <v>126</v>
      </c>
      <c r="G864" s="20" t="s">
        <v>127</v>
      </c>
      <c r="H864" s="20" t="s">
        <v>136</v>
      </c>
      <c r="I864" s="4">
        <v>10000</v>
      </c>
      <c r="J864" s="4">
        <v>10000</v>
      </c>
      <c r="K864" s="5" t="s">
        <v>17</v>
      </c>
      <c r="L864">
        <f t="shared" si="66"/>
        <v>1</v>
      </c>
      <c r="M864">
        <f t="shared" ca="1" si="69"/>
        <v>21</v>
      </c>
      <c r="N864" s="15">
        <f t="shared" si="67"/>
        <v>0</v>
      </c>
      <c r="O864" t="str">
        <f t="shared" ca="1" si="68"/>
        <v>0-30 Days</v>
      </c>
    </row>
    <row r="865" spans="1:15" x14ac:dyDescent="0.3">
      <c r="A865" s="6" t="s">
        <v>1385</v>
      </c>
      <c r="B865" s="7" t="s">
        <v>234</v>
      </c>
      <c r="C865" s="6" t="s">
        <v>40</v>
      </c>
      <c r="D865" s="2" t="str">
        <f t="shared" si="65"/>
        <v>May</v>
      </c>
      <c r="E865" s="25" t="s">
        <v>210</v>
      </c>
      <c r="F865" s="21" t="s">
        <v>507</v>
      </c>
      <c r="G865" s="21" t="s">
        <v>178</v>
      </c>
      <c r="H865" s="21" t="s">
        <v>86</v>
      </c>
      <c r="I865" s="8">
        <v>60000</v>
      </c>
      <c r="J865" s="8">
        <v>60000</v>
      </c>
      <c r="K865" s="9" t="s">
        <v>45</v>
      </c>
      <c r="L865">
        <f t="shared" si="66"/>
        <v>3</v>
      </c>
      <c r="M865">
        <f t="shared" ca="1" si="69"/>
        <v>40</v>
      </c>
      <c r="N865" s="15">
        <f t="shared" si="67"/>
        <v>0</v>
      </c>
      <c r="O865" t="str">
        <f t="shared" ca="1" si="68"/>
        <v>31-60 Days</v>
      </c>
    </row>
    <row r="866" spans="1:15" x14ac:dyDescent="0.3">
      <c r="A866" s="2" t="s">
        <v>1386</v>
      </c>
      <c r="B866" s="3" t="s">
        <v>160</v>
      </c>
      <c r="C866" s="2" t="s">
        <v>40</v>
      </c>
      <c r="D866" s="2" t="str">
        <f t="shared" si="65"/>
        <v>Aug</v>
      </c>
      <c r="E866" s="24" t="s">
        <v>730</v>
      </c>
      <c r="F866" s="20" t="s">
        <v>320</v>
      </c>
      <c r="G866" s="20" t="s">
        <v>490</v>
      </c>
      <c r="H866" s="20"/>
      <c r="I866" s="4">
        <v>12000</v>
      </c>
      <c r="J866" s="4">
        <v>0</v>
      </c>
      <c r="K866" s="10" t="s">
        <v>57</v>
      </c>
      <c r="L866">
        <f t="shared" si="66"/>
        <v>2</v>
      </c>
      <c r="M866">
        <f t="shared" ca="1" si="69"/>
        <v>305</v>
      </c>
      <c r="N866" s="15">
        <f t="shared" si="67"/>
        <v>12000</v>
      </c>
      <c r="O866" t="str">
        <f t="shared" ca="1" si="68"/>
        <v>90+ Days</v>
      </c>
    </row>
    <row r="867" spans="1:15" x14ac:dyDescent="0.3">
      <c r="A867" s="6" t="s">
        <v>1387</v>
      </c>
      <c r="B867" s="7" t="s">
        <v>32</v>
      </c>
      <c r="C867" s="6" t="s">
        <v>33</v>
      </c>
      <c r="D867" s="2" t="str">
        <f t="shared" si="65"/>
        <v>Aug</v>
      </c>
      <c r="E867" s="25" t="s">
        <v>228</v>
      </c>
      <c r="F867" s="21" t="s">
        <v>341</v>
      </c>
      <c r="G867" s="21" t="s">
        <v>183</v>
      </c>
      <c r="H867" s="21" t="s">
        <v>171</v>
      </c>
      <c r="I867" s="8">
        <v>55000</v>
      </c>
      <c r="J867" s="8">
        <v>55000</v>
      </c>
      <c r="K867" s="5" t="s">
        <v>17</v>
      </c>
      <c r="L867">
        <f t="shared" si="66"/>
        <v>1</v>
      </c>
      <c r="M867">
        <f t="shared" ca="1" si="69"/>
        <v>28</v>
      </c>
      <c r="N867" s="15">
        <f t="shared" si="67"/>
        <v>0</v>
      </c>
      <c r="O867" t="str">
        <f t="shared" ca="1" si="68"/>
        <v>0-30 Days</v>
      </c>
    </row>
    <row r="868" spans="1:15" x14ac:dyDescent="0.3">
      <c r="A868" s="2" t="s">
        <v>1388</v>
      </c>
      <c r="B868" s="3" t="s">
        <v>876</v>
      </c>
      <c r="C868" s="2" t="s">
        <v>12</v>
      </c>
      <c r="D868" s="2" t="str">
        <f t="shared" si="65"/>
        <v>Oct</v>
      </c>
      <c r="E868" s="24" t="s">
        <v>437</v>
      </c>
      <c r="F868" s="20" t="s">
        <v>243</v>
      </c>
      <c r="G868" s="20" t="s">
        <v>674</v>
      </c>
      <c r="H868" s="20" t="s">
        <v>128</v>
      </c>
      <c r="I868" s="4">
        <v>20000</v>
      </c>
      <c r="J868" s="4">
        <v>20000</v>
      </c>
      <c r="K868" s="5" t="s">
        <v>17</v>
      </c>
      <c r="L868">
        <f t="shared" si="66"/>
        <v>2</v>
      </c>
      <c r="M868">
        <f t="shared" ca="1" si="69"/>
        <v>28</v>
      </c>
      <c r="N868" s="15">
        <f t="shared" si="67"/>
        <v>0</v>
      </c>
      <c r="O868" t="str">
        <f t="shared" ca="1" si="68"/>
        <v>0-30 Days</v>
      </c>
    </row>
    <row r="869" spans="1:15" x14ac:dyDescent="0.3">
      <c r="A869" s="6" t="s">
        <v>1389</v>
      </c>
      <c r="B869" s="7" t="s">
        <v>1060</v>
      </c>
      <c r="C869" s="6" t="s">
        <v>12</v>
      </c>
      <c r="D869" s="2" t="str">
        <f t="shared" si="65"/>
        <v>Jul</v>
      </c>
      <c r="E869" s="25" t="s">
        <v>86</v>
      </c>
      <c r="F869" s="21" t="s">
        <v>747</v>
      </c>
      <c r="G869" s="21" t="s">
        <v>699</v>
      </c>
      <c r="H869" s="21"/>
      <c r="I869" s="8">
        <v>55000</v>
      </c>
      <c r="J869" s="8">
        <v>0</v>
      </c>
      <c r="K869" s="10" t="s">
        <v>57</v>
      </c>
      <c r="L869">
        <f t="shared" si="66"/>
        <v>1</v>
      </c>
      <c r="M869">
        <f t="shared" ca="1" si="69"/>
        <v>339</v>
      </c>
      <c r="N869" s="15">
        <f t="shared" si="67"/>
        <v>55000</v>
      </c>
      <c r="O869" t="str">
        <f t="shared" ca="1" si="68"/>
        <v>90+ Days</v>
      </c>
    </row>
    <row r="870" spans="1:15" x14ac:dyDescent="0.3">
      <c r="A870" s="2" t="s">
        <v>1390</v>
      </c>
      <c r="B870" s="3" t="s">
        <v>407</v>
      </c>
      <c r="C870" s="2" t="s">
        <v>33</v>
      </c>
      <c r="D870" s="2" t="str">
        <f t="shared" si="65"/>
        <v>Mar</v>
      </c>
      <c r="E870" s="24" t="s">
        <v>232</v>
      </c>
      <c r="F870" s="20" t="s">
        <v>201</v>
      </c>
      <c r="G870" s="20" t="s">
        <v>162</v>
      </c>
      <c r="H870" s="20" t="s">
        <v>890</v>
      </c>
      <c r="I870" s="4">
        <v>5000</v>
      </c>
      <c r="J870" s="4">
        <v>5000</v>
      </c>
      <c r="K870" s="9" t="s">
        <v>45</v>
      </c>
      <c r="L870">
        <f t="shared" si="66"/>
        <v>1</v>
      </c>
      <c r="M870">
        <f t="shared" ca="1" si="69"/>
        <v>43</v>
      </c>
      <c r="N870" s="15">
        <f t="shared" si="67"/>
        <v>0</v>
      </c>
      <c r="O870" t="str">
        <f t="shared" ca="1" si="68"/>
        <v>31-60 Days</v>
      </c>
    </row>
    <row r="871" spans="1:15" x14ac:dyDescent="0.3">
      <c r="A871" s="6" t="s">
        <v>1391</v>
      </c>
      <c r="B871" s="7" t="s">
        <v>454</v>
      </c>
      <c r="C871" s="6" t="s">
        <v>12</v>
      </c>
      <c r="D871" s="2" t="str">
        <f t="shared" si="65"/>
        <v>Oct</v>
      </c>
      <c r="E871" s="25" t="s">
        <v>174</v>
      </c>
      <c r="F871" s="21" t="s">
        <v>243</v>
      </c>
      <c r="G871" s="21" t="s">
        <v>674</v>
      </c>
      <c r="H871" s="21" t="s">
        <v>128</v>
      </c>
      <c r="I871" s="8">
        <v>60000</v>
      </c>
      <c r="J871" s="8">
        <v>60000</v>
      </c>
      <c r="K871" s="5" t="s">
        <v>17</v>
      </c>
      <c r="L871">
        <f t="shared" si="66"/>
        <v>1</v>
      </c>
      <c r="M871">
        <f t="shared" ca="1" si="69"/>
        <v>28</v>
      </c>
      <c r="N871" s="15">
        <f t="shared" si="67"/>
        <v>0</v>
      </c>
      <c r="O871" t="str">
        <f t="shared" ca="1" si="68"/>
        <v>0-30 Days</v>
      </c>
    </row>
    <row r="872" spans="1:15" x14ac:dyDescent="0.3">
      <c r="A872" s="2" t="s">
        <v>1392</v>
      </c>
      <c r="B872" s="3" t="s">
        <v>651</v>
      </c>
      <c r="C872" s="2" t="s">
        <v>12</v>
      </c>
      <c r="D872" s="2" t="str">
        <f t="shared" si="65"/>
        <v>Jun</v>
      </c>
      <c r="E872" s="24" t="s">
        <v>311</v>
      </c>
      <c r="F872" s="20" t="s">
        <v>387</v>
      </c>
      <c r="G872" s="20" t="s">
        <v>523</v>
      </c>
      <c r="H872" s="20" t="s">
        <v>333</v>
      </c>
      <c r="I872" s="4">
        <v>18000</v>
      </c>
      <c r="J872" s="4">
        <v>4500</v>
      </c>
      <c r="K872" s="13" t="s">
        <v>113</v>
      </c>
      <c r="L872">
        <f t="shared" si="66"/>
        <v>1</v>
      </c>
      <c r="M872">
        <f t="shared" ca="1" si="69"/>
        <v>37</v>
      </c>
      <c r="N872" s="15">
        <f t="shared" si="67"/>
        <v>13500</v>
      </c>
      <c r="O872" t="str">
        <f t="shared" ca="1" si="68"/>
        <v>31-60 Days</v>
      </c>
    </row>
    <row r="873" spans="1:15" x14ac:dyDescent="0.3">
      <c r="A873" s="6" t="s">
        <v>1393</v>
      </c>
      <c r="B873" s="7" t="s">
        <v>84</v>
      </c>
      <c r="C873" s="6" t="s">
        <v>12</v>
      </c>
      <c r="D873" s="2" t="str">
        <f t="shared" si="65"/>
        <v>Apr</v>
      </c>
      <c r="E873" s="25" t="s">
        <v>162</v>
      </c>
      <c r="F873" s="21" t="s">
        <v>238</v>
      </c>
      <c r="G873" s="21" t="s">
        <v>239</v>
      </c>
      <c r="H873" s="21" t="s">
        <v>977</v>
      </c>
      <c r="I873" s="8">
        <v>50000</v>
      </c>
      <c r="J873" s="8">
        <v>50000</v>
      </c>
      <c r="K873" s="5" t="s">
        <v>17</v>
      </c>
      <c r="L873">
        <f t="shared" si="66"/>
        <v>1</v>
      </c>
      <c r="M873">
        <f t="shared" ca="1" si="69"/>
        <v>10</v>
      </c>
      <c r="N873" s="15">
        <f t="shared" si="67"/>
        <v>0</v>
      </c>
      <c r="O873" t="str">
        <f t="shared" ca="1" si="68"/>
        <v>0-30 Days</v>
      </c>
    </row>
    <row r="874" spans="1:15" x14ac:dyDescent="0.3">
      <c r="A874" s="2" t="s">
        <v>1394</v>
      </c>
      <c r="B874" s="3" t="s">
        <v>415</v>
      </c>
      <c r="C874" s="2" t="s">
        <v>12</v>
      </c>
      <c r="D874" s="2" t="str">
        <f t="shared" si="65"/>
        <v>Oct</v>
      </c>
      <c r="E874" s="24" t="s">
        <v>121</v>
      </c>
      <c r="F874" s="20" t="s">
        <v>376</v>
      </c>
      <c r="G874" s="20" t="s">
        <v>136</v>
      </c>
      <c r="H874" s="20" t="s">
        <v>326</v>
      </c>
      <c r="I874" s="4">
        <v>55000</v>
      </c>
      <c r="J874" s="4">
        <v>55000</v>
      </c>
      <c r="K874" s="5" t="s">
        <v>17</v>
      </c>
      <c r="L874">
        <f t="shared" si="66"/>
        <v>1</v>
      </c>
      <c r="M874">
        <f t="shared" ca="1" si="69"/>
        <v>22</v>
      </c>
      <c r="N874" s="15">
        <f t="shared" si="67"/>
        <v>0</v>
      </c>
      <c r="O874" t="str">
        <f t="shared" ca="1" si="68"/>
        <v>0-30 Days</v>
      </c>
    </row>
    <row r="875" spans="1:15" x14ac:dyDescent="0.3">
      <c r="A875" s="6" t="s">
        <v>1395</v>
      </c>
      <c r="B875" s="7" t="s">
        <v>212</v>
      </c>
      <c r="C875" s="6" t="s">
        <v>12</v>
      </c>
      <c r="D875" s="2" t="str">
        <f t="shared" si="65"/>
        <v>May</v>
      </c>
      <c r="E875" s="25" t="s">
        <v>210</v>
      </c>
      <c r="F875" s="21" t="s">
        <v>507</v>
      </c>
      <c r="G875" s="21" t="s">
        <v>178</v>
      </c>
      <c r="H875" s="21" t="s">
        <v>746</v>
      </c>
      <c r="I875" s="8">
        <v>10000</v>
      </c>
      <c r="J875" s="8">
        <v>10000</v>
      </c>
      <c r="K875" s="5" t="s">
        <v>17</v>
      </c>
      <c r="L875">
        <f t="shared" si="66"/>
        <v>3</v>
      </c>
      <c r="M875">
        <f t="shared" ca="1" si="69"/>
        <v>11</v>
      </c>
      <c r="N875" s="15">
        <f t="shared" si="67"/>
        <v>0</v>
      </c>
      <c r="O875" t="str">
        <f t="shared" ca="1" si="68"/>
        <v>0-30 Days</v>
      </c>
    </row>
    <row r="876" spans="1:15" x14ac:dyDescent="0.3">
      <c r="A876" s="2" t="s">
        <v>1396</v>
      </c>
      <c r="B876" s="3" t="s">
        <v>651</v>
      </c>
      <c r="C876" s="2" t="s">
        <v>12</v>
      </c>
      <c r="D876" s="2" t="str">
        <f t="shared" si="65"/>
        <v>Oct</v>
      </c>
      <c r="E876" s="24" t="s">
        <v>327</v>
      </c>
      <c r="F876" s="20" t="s">
        <v>274</v>
      </c>
      <c r="G876" s="20" t="s">
        <v>142</v>
      </c>
      <c r="H876" s="20" t="s">
        <v>732</v>
      </c>
      <c r="I876" s="4">
        <v>75000</v>
      </c>
      <c r="J876" s="4">
        <v>75000</v>
      </c>
      <c r="K876" s="5" t="s">
        <v>17</v>
      </c>
      <c r="L876">
        <f t="shared" si="66"/>
        <v>2</v>
      </c>
      <c r="M876">
        <f t="shared" ca="1" si="69"/>
        <v>26</v>
      </c>
      <c r="N876" s="15">
        <f t="shared" si="67"/>
        <v>0</v>
      </c>
      <c r="O876" t="str">
        <f t="shared" ca="1" si="68"/>
        <v>0-30 Days</v>
      </c>
    </row>
    <row r="877" spans="1:15" x14ac:dyDescent="0.3">
      <c r="A877" s="6" t="s">
        <v>1397</v>
      </c>
      <c r="B877" s="7" t="s">
        <v>115</v>
      </c>
      <c r="C877" s="6" t="s">
        <v>12</v>
      </c>
      <c r="D877" s="2" t="str">
        <f t="shared" si="65"/>
        <v>May</v>
      </c>
      <c r="E877" s="25" t="s">
        <v>577</v>
      </c>
      <c r="F877" s="21" t="s">
        <v>564</v>
      </c>
      <c r="G877" s="21" t="s">
        <v>507</v>
      </c>
      <c r="H877" s="21" t="s">
        <v>712</v>
      </c>
      <c r="I877" s="8">
        <v>60000</v>
      </c>
      <c r="J877" s="8">
        <v>60000</v>
      </c>
      <c r="K877" s="9" t="s">
        <v>45</v>
      </c>
      <c r="L877">
        <f t="shared" si="66"/>
        <v>1</v>
      </c>
      <c r="M877">
        <f t="shared" ca="1" si="69"/>
        <v>59</v>
      </c>
      <c r="N877" s="15">
        <f t="shared" si="67"/>
        <v>0</v>
      </c>
      <c r="O877" t="str">
        <f t="shared" ca="1" si="68"/>
        <v>31-60 Days</v>
      </c>
    </row>
    <row r="878" spans="1:15" x14ac:dyDescent="0.3">
      <c r="A878" s="2" t="s">
        <v>1398</v>
      </c>
      <c r="B878" s="3" t="s">
        <v>365</v>
      </c>
      <c r="C878" s="2" t="s">
        <v>40</v>
      </c>
      <c r="D878" s="2" t="str">
        <f t="shared" si="65"/>
        <v>Jun</v>
      </c>
      <c r="E878" s="24" t="s">
        <v>746</v>
      </c>
      <c r="F878" s="20" t="s">
        <v>655</v>
      </c>
      <c r="G878" s="20" t="s">
        <v>888</v>
      </c>
      <c r="H878" s="20" t="s">
        <v>475</v>
      </c>
      <c r="I878" s="4">
        <v>22000</v>
      </c>
      <c r="J878" s="4">
        <v>22000</v>
      </c>
      <c r="K878" s="5" t="s">
        <v>17</v>
      </c>
      <c r="L878">
        <f t="shared" si="66"/>
        <v>2</v>
      </c>
      <c r="M878">
        <f t="shared" ca="1" si="69"/>
        <v>26</v>
      </c>
      <c r="N878" s="15">
        <f t="shared" si="67"/>
        <v>0</v>
      </c>
      <c r="O878" t="str">
        <f t="shared" ca="1" si="68"/>
        <v>0-30 Days</v>
      </c>
    </row>
    <row r="879" spans="1:15" x14ac:dyDescent="0.3">
      <c r="A879" s="6" t="s">
        <v>1399</v>
      </c>
      <c r="B879" s="7" t="s">
        <v>750</v>
      </c>
      <c r="C879" s="6" t="s">
        <v>40</v>
      </c>
      <c r="D879" s="2" t="str">
        <f t="shared" si="65"/>
        <v>Dec</v>
      </c>
      <c r="E879" s="25" t="s">
        <v>99</v>
      </c>
      <c r="F879" s="21" t="s">
        <v>663</v>
      </c>
      <c r="G879" s="21" t="s">
        <v>1066</v>
      </c>
      <c r="H879" s="21" t="s">
        <v>1400</v>
      </c>
      <c r="I879" s="8">
        <v>20000</v>
      </c>
      <c r="J879" s="8">
        <v>20000</v>
      </c>
      <c r="K879" s="9" t="s">
        <v>45</v>
      </c>
      <c r="L879">
        <f t="shared" si="66"/>
        <v>3</v>
      </c>
      <c r="M879">
        <f t="shared" ca="1" si="69"/>
        <v>42</v>
      </c>
      <c r="N879" s="15">
        <f t="shared" si="67"/>
        <v>0</v>
      </c>
      <c r="O879" t="str">
        <f t="shared" ca="1" si="68"/>
        <v>31-60 Days</v>
      </c>
    </row>
    <row r="880" spans="1:15" x14ac:dyDescent="0.3">
      <c r="A880" s="2" t="s">
        <v>1401</v>
      </c>
      <c r="B880" s="3" t="s">
        <v>431</v>
      </c>
      <c r="C880" s="2" t="s">
        <v>12</v>
      </c>
      <c r="D880" s="2" t="str">
        <f t="shared" si="65"/>
        <v>Aug</v>
      </c>
      <c r="E880" s="24" t="s">
        <v>472</v>
      </c>
      <c r="F880" s="20" t="s">
        <v>480</v>
      </c>
      <c r="G880" s="20" t="s">
        <v>483</v>
      </c>
      <c r="H880" s="20" t="s">
        <v>156</v>
      </c>
      <c r="I880" s="4">
        <v>5000</v>
      </c>
      <c r="J880" s="4">
        <v>5000</v>
      </c>
      <c r="K880" s="5" t="s">
        <v>17</v>
      </c>
      <c r="L880">
        <f t="shared" si="66"/>
        <v>1</v>
      </c>
      <c r="M880">
        <f t="shared" ca="1" si="69"/>
        <v>12</v>
      </c>
      <c r="N880" s="15">
        <f t="shared" si="67"/>
        <v>0</v>
      </c>
      <c r="O880" t="str">
        <f t="shared" ca="1" si="68"/>
        <v>0-30 Days</v>
      </c>
    </row>
    <row r="881" spans="1:15" x14ac:dyDescent="0.3">
      <c r="A881" s="6" t="s">
        <v>1402</v>
      </c>
      <c r="B881" s="7" t="s">
        <v>309</v>
      </c>
      <c r="C881" s="6" t="s">
        <v>12</v>
      </c>
      <c r="D881" s="2" t="str">
        <f t="shared" si="65"/>
        <v>Nov</v>
      </c>
      <c r="E881" s="25" t="s">
        <v>271</v>
      </c>
      <c r="F881" s="21" t="s">
        <v>127</v>
      </c>
      <c r="G881" s="21" t="s">
        <v>167</v>
      </c>
      <c r="H881" s="21"/>
      <c r="I881" s="8">
        <v>50000</v>
      </c>
      <c r="J881" s="8">
        <v>0</v>
      </c>
      <c r="K881" s="10" t="s">
        <v>57</v>
      </c>
      <c r="L881">
        <f t="shared" si="66"/>
        <v>2</v>
      </c>
      <c r="M881">
        <f t="shared" ca="1" si="69"/>
        <v>201</v>
      </c>
      <c r="N881" s="15">
        <f t="shared" si="67"/>
        <v>50000</v>
      </c>
      <c r="O881" t="str">
        <f t="shared" ca="1" si="68"/>
        <v>90+ Days</v>
      </c>
    </row>
    <row r="882" spans="1:15" x14ac:dyDescent="0.3">
      <c r="A882" s="2" t="s">
        <v>1403</v>
      </c>
      <c r="B882" s="3" t="s">
        <v>457</v>
      </c>
      <c r="C882" s="2" t="s">
        <v>40</v>
      </c>
      <c r="D882" s="2" t="str">
        <f t="shared" si="65"/>
        <v>Dec</v>
      </c>
      <c r="E882" s="24" t="s">
        <v>631</v>
      </c>
      <c r="F882" s="20" t="s">
        <v>573</v>
      </c>
      <c r="G882" s="20" t="s">
        <v>192</v>
      </c>
      <c r="H882" s="20"/>
      <c r="I882" s="4">
        <v>75000</v>
      </c>
      <c r="J882" s="4">
        <v>0</v>
      </c>
      <c r="K882" s="10" t="s">
        <v>57</v>
      </c>
      <c r="L882">
        <f t="shared" si="66"/>
        <v>3</v>
      </c>
      <c r="M882">
        <f t="shared" ca="1" si="69"/>
        <v>181</v>
      </c>
      <c r="N882" s="15">
        <f t="shared" si="67"/>
        <v>75000</v>
      </c>
      <c r="O882" t="str">
        <f t="shared" ca="1" si="68"/>
        <v>90+ Days</v>
      </c>
    </row>
    <row r="883" spans="1:15" x14ac:dyDescent="0.3">
      <c r="A883" s="6" t="s">
        <v>1404</v>
      </c>
      <c r="B883" s="7" t="s">
        <v>489</v>
      </c>
      <c r="C883" s="6" t="s">
        <v>40</v>
      </c>
      <c r="D883" s="2" t="str">
        <f t="shared" si="65"/>
        <v>Aug</v>
      </c>
      <c r="E883" s="25" t="s">
        <v>626</v>
      </c>
      <c r="F883" s="21" t="s">
        <v>534</v>
      </c>
      <c r="G883" s="21" t="s">
        <v>589</v>
      </c>
      <c r="H883" s="21" t="s">
        <v>61</v>
      </c>
      <c r="I883" s="8">
        <v>60000</v>
      </c>
      <c r="J883" s="8">
        <v>60000</v>
      </c>
      <c r="K883" s="5" t="s">
        <v>17</v>
      </c>
      <c r="L883">
        <f t="shared" si="66"/>
        <v>2</v>
      </c>
      <c r="M883">
        <f t="shared" ca="1" si="69"/>
        <v>8</v>
      </c>
      <c r="N883" s="15">
        <f t="shared" si="67"/>
        <v>0</v>
      </c>
      <c r="O883" t="str">
        <f t="shared" ca="1" si="68"/>
        <v>0-30 Days</v>
      </c>
    </row>
    <row r="884" spans="1:15" x14ac:dyDescent="0.3">
      <c r="A884" s="2" t="s">
        <v>1405</v>
      </c>
      <c r="B884" s="3" t="s">
        <v>336</v>
      </c>
      <c r="C884" s="2" t="s">
        <v>26</v>
      </c>
      <c r="D884" s="2" t="str">
        <f t="shared" si="65"/>
        <v>Nov</v>
      </c>
      <c r="E884" s="24" t="s">
        <v>127</v>
      </c>
      <c r="F884" s="20" t="s">
        <v>465</v>
      </c>
      <c r="G884" s="20" t="s">
        <v>390</v>
      </c>
      <c r="H884" s="20"/>
      <c r="I884" s="4">
        <v>10000</v>
      </c>
      <c r="J884" s="4">
        <v>0</v>
      </c>
      <c r="K884" s="10" t="s">
        <v>57</v>
      </c>
      <c r="L884">
        <f t="shared" si="66"/>
        <v>3</v>
      </c>
      <c r="M884">
        <f t="shared" ca="1" si="69"/>
        <v>198</v>
      </c>
      <c r="N884" s="15">
        <f t="shared" si="67"/>
        <v>10000</v>
      </c>
      <c r="O884" t="str">
        <f t="shared" ca="1" si="68"/>
        <v>90+ Days</v>
      </c>
    </row>
    <row r="885" spans="1:15" x14ac:dyDescent="0.3">
      <c r="A885" s="6" t="s">
        <v>1406</v>
      </c>
      <c r="B885" s="7" t="s">
        <v>457</v>
      </c>
      <c r="C885" s="6" t="s">
        <v>40</v>
      </c>
      <c r="D885" s="2" t="str">
        <f t="shared" si="65"/>
        <v>Oct</v>
      </c>
      <c r="E885" s="25" t="s">
        <v>597</v>
      </c>
      <c r="F885" s="21" t="s">
        <v>400</v>
      </c>
      <c r="G885" s="21" t="s">
        <v>557</v>
      </c>
      <c r="H885" s="21"/>
      <c r="I885" s="8">
        <v>50000</v>
      </c>
      <c r="J885" s="8">
        <v>0</v>
      </c>
      <c r="K885" s="12" t="s">
        <v>71</v>
      </c>
      <c r="L885">
        <f t="shared" si="66"/>
        <v>1</v>
      </c>
      <c r="M885">
        <f t="shared" ca="1" si="69"/>
        <v>255</v>
      </c>
      <c r="N885" s="15">
        <f t="shared" si="67"/>
        <v>50000</v>
      </c>
      <c r="O885" t="str">
        <f t="shared" ca="1" si="68"/>
        <v>90+ Days</v>
      </c>
    </row>
    <row r="886" spans="1:15" x14ac:dyDescent="0.3">
      <c r="A886" s="2" t="s">
        <v>1407</v>
      </c>
      <c r="B886" s="3" t="s">
        <v>529</v>
      </c>
      <c r="C886" s="2" t="s">
        <v>12</v>
      </c>
      <c r="D886" s="2" t="str">
        <f t="shared" si="65"/>
        <v>Feb</v>
      </c>
      <c r="E886" s="24" t="s">
        <v>429</v>
      </c>
      <c r="F886" s="20" t="s">
        <v>318</v>
      </c>
      <c r="G886" s="20" t="s">
        <v>202</v>
      </c>
      <c r="H886" s="20" t="s">
        <v>48</v>
      </c>
      <c r="I886" s="4">
        <v>10000</v>
      </c>
      <c r="J886" s="4">
        <v>7500</v>
      </c>
      <c r="K886" s="13" t="s">
        <v>113</v>
      </c>
      <c r="L886">
        <f t="shared" si="66"/>
        <v>3</v>
      </c>
      <c r="M886">
        <f t="shared" ca="1" si="69"/>
        <v>37</v>
      </c>
      <c r="N886" s="15">
        <f t="shared" si="67"/>
        <v>2500</v>
      </c>
      <c r="O886" t="str">
        <f t="shared" ca="1" si="68"/>
        <v>31-60 Days</v>
      </c>
    </row>
    <row r="887" spans="1:15" x14ac:dyDescent="0.3">
      <c r="A887" s="6" t="s">
        <v>1408</v>
      </c>
      <c r="B887" s="7" t="s">
        <v>32</v>
      </c>
      <c r="C887" s="6" t="s">
        <v>33</v>
      </c>
      <c r="D887" s="2" t="str">
        <f t="shared" si="65"/>
        <v>Oct</v>
      </c>
      <c r="E887" s="25" t="s">
        <v>327</v>
      </c>
      <c r="F887" s="21" t="s">
        <v>126</v>
      </c>
      <c r="G887" s="21" t="s">
        <v>127</v>
      </c>
      <c r="H887" s="21"/>
      <c r="I887" s="8">
        <v>12000</v>
      </c>
      <c r="J887" s="8">
        <v>0</v>
      </c>
      <c r="K887" s="12" t="s">
        <v>71</v>
      </c>
      <c r="L887">
        <f t="shared" si="66"/>
        <v>3</v>
      </c>
      <c r="M887">
        <f t="shared" ca="1" si="69"/>
        <v>231</v>
      </c>
      <c r="N887" s="15">
        <f t="shared" si="67"/>
        <v>12000</v>
      </c>
      <c r="O887" t="str">
        <f t="shared" ca="1" si="68"/>
        <v>90+ Days</v>
      </c>
    </row>
    <row r="888" spans="1:15" x14ac:dyDescent="0.3">
      <c r="A888" s="2" t="s">
        <v>1409</v>
      </c>
      <c r="B888" s="3" t="s">
        <v>252</v>
      </c>
      <c r="C888" s="2" t="s">
        <v>12</v>
      </c>
      <c r="D888" s="2" t="str">
        <f t="shared" si="65"/>
        <v>Jan</v>
      </c>
      <c r="E888" s="24" t="s">
        <v>1005</v>
      </c>
      <c r="F888" s="20" t="s">
        <v>753</v>
      </c>
      <c r="G888" s="20" t="s">
        <v>79</v>
      </c>
      <c r="H888" s="20" t="s">
        <v>66</v>
      </c>
      <c r="I888" s="4">
        <v>50000</v>
      </c>
      <c r="J888" s="4">
        <v>50000</v>
      </c>
      <c r="K888" s="5" t="s">
        <v>17</v>
      </c>
      <c r="L888">
        <f t="shared" si="66"/>
        <v>3</v>
      </c>
      <c r="M888">
        <f t="shared" ca="1" si="69"/>
        <v>22</v>
      </c>
      <c r="N888" s="15">
        <f t="shared" si="67"/>
        <v>0</v>
      </c>
      <c r="O888" t="str">
        <f t="shared" ca="1" si="68"/>
        <v>0-30 Days</v>
      </c>
    </row>
    <row r="889" spans="1:15" x14ac:dyDescent="0.3">
      <c r="A889" s="6" t="s">
        <v>1410</v>
      </c>
      <c r="B889" s="7" t="s">
        <v>461</v>
      </c>
      <c r="C889" s="6" t="s">
        <v>12</v>
      </c>
      <c r="D889" s="2" t="str">
        <f t="shared" si="65"/>
        <v>Dec</v>
      </c>
      <c r="E889" s="25" t="s">
        <v>301</v>
      </c>
      <c r="F889" s="21" t="s">
        <v>270</v>
      </c>
      <c r="G889" s="21" t="s">
        <v>138</v>
      </c>
      <c r="H889" s="21" t="s">
        <v>663</v>
      </c>
      <c r="I889" s="8">
        <v>100000</v>
      </c>
      <c r="J889" s="8">
        <v>100000</v>
      </c>
      <c r="K889" s="5" t="s">
        <v>17</v>
      </c>
      <c r="L889">
        <f t="shared" si="66"/>
        <v>1</v>
      </c>
      <c r="M889">
        <f t="shared" ca="1" si="69"/>
        <v>23</v>
      </c>
      <c r="N889" s="15">
        <f t="shared" si="67"/>
        <v>0</v>
      </c>
      <c r="O889" t="str">
        <f t="shared" ca="1" si="68"/>
        <v>0-30 Days</v>
      </c>
    </row>
    <row r="890" spans="1:15" x14ac:dyDescent="0.3">
      <c r="A890" s="2" t="s">
        <v>1411</v>
      </c>
      <c r="B890" s="3" t="s">
        <v>59</v>
      </c>
      <c r="C890" s="2" t="s">
        <v>12</v>
      </c>
      <c r="D890" s="2" t="str">
        <f t="shared" si="65"/>
        <v>May</v>
      </c>
      <c r="E890" s="24" t="s">
        <v>210</v>
      </c>
      <c r="F890" s="20" t="s">
        <v>522</v>
      </c>
      <c r="G890" s="20" t="s">
        <v>353</v>
      </c>
      <c r="H890" s="20" t="s">
        <v>295</v>
      </c>
      <c r="I890" s="4">
        <v>22000</v>
      </c>
      <c r="J890" s="4">
        <v>22000</v>
      </c>
      <c r="K890" s="5" t="s">
        <v>17</v>
      </c>
      <c r="L890">
        <f t="shared" si="66"/>
        <v>1</v>
      </c>
      <c r="M890">
        <f t="shared" ca="1" si="69"/>
        <v>7</v>
      </c>
      <c r="N890" s="15">
        <f t="shared" si="67"/>
        <v>0</v>
      </c>
      <c r="O890" t="str">
        <f t="shared" ca="1" si="68"/>
        <v>0-30 Days</v>
      </c>
    </row>
    <row r="891" spans="1:15" x14ac:dyDescent="0.3">
      <c r="A891" s="6" t="s">
        <v>1412</v>
      </c>
      <c r="B891" s="7" t="s">
        <v>876</v>
      </c>
      <c r="C891" s="6" t="s">
        <v>12</v>
      </c>
      <c r="D891" s="2" t="str">
        <f t="shared" si="65"/>
        <v>Jul</v>
      </c>
      <c r="E891" s="25" t="s">
        <v>634</v>
      </c>
      <c r="F891" s="21" t="s">
        <v>85</v>
      </c>
      <c r="G891" s="21" t="s">
        <v>472</v>
      </c>
      <c r="H891" s="21" t="s">
        <v>670</v>
      </c>
      <c r="I891" s="8">
        <v>5000</v>
      </c>
      <c r="J891" s="8">
        <v>5000</v>
      </c>
      <c r="K891" s="9" t="s">
        <v>45</v>
      </c>
      <c r="L891">
        <f t="shared" si="66"/>
        <v>3</v>
      </c>
      <c r="M891">
        <f t="shared" ca="1" si="69"/>
        <v>58</v>
      </c>
      <c r="N891" s="15">
        <f t="shared" si="67"/>
        <v>0</v>
      </c>
      <c r="O891" t="str">
        <f t="shared" ca="1" si="68"/>
        <v>31-60 Days</v>
      </c>
    </row>
    <row r="892" spans="1:15" x14ac:dyDescent="0.3">
      <c r="A892" s="2" t="s">
        <v>1413</v>
      </c>
      <c r="B892" s="3" t="s">
        <v>300</v>
      </c>
      <c r="C892" s="2" t="s">
        <v>12</v>
      </c>
      <c r="D892" s="2" t="str">
        <f t="shared" si="65"/>
        <v>Dec</v>
      </c>
      <c r="E892" s="24" t="s">
        <v>573</v>
      </c>
      <c r="F892" s="20" t="s">
        <v>146</v>
      </c>
      <c r="G892" s="20" t="s">
        <v>147</v>
      </c>
      <c r="H892" s="20" t="s">
        <v>544</v>
      </c>
      <c r="I892" s="4">
        <v>45000</v>
      </c>
      <c r="J892" s="4">
        <v>45000</v>
      </c>
      <c r="K892" s="5" t="s">
        <v>17</v>
      </c>
      <c r="L892">
        <f t="shared" si="66"/>
        <v>1</v>
      </c>
      <c r="M892">
        <f t="shared" ca="1" si="69"/>
        <v>10</v>
      </c>
      <c r="N892" s="15">
        <f t="shared" si="67"/>
        <v>0</v>
      </c>
      <c r="O892" t="str">
        <f t="shared" ca="1" si="68"/>
        <v>0-30 Days</v>
      </c>
    </row>
    <row r="893" spans="1:15" x14ac:dyDescent="0.3">
      <c r="A893" s="6" t="s">
        <v>1414</v>
      </c>
      <c r="B893" s="7" t="s">
        <v>336</v>
      </c>
      <c r="C893" s="6" t="s">
        <v>26</v>
      </c>
      <c r="D893" s="2" t="str">
        <f t="shared" si="65"/>
        <v>Oct</v>
      </c>
      <c r="E893" s="25" t="s">
        <v>623</v>
      </c>
      <c r="F893" s="21" t="s">
        <v>602</v>
      </c>
      <c r="G893" s="21" t="s">
        <v>137</v>
      </c>
      <c r="H893" s="21"/>
      <c r="I893" s="8">
        <v>20000</v>
      </c>
      <c r="J893" s="8">
        <v>0</v>
      </c>
      <c r="K893" s="12" t="s">
        <v>71</v>
      </c>
      <c r="L893">
        <f t="shared" si="66"/>
        <v>3</v>
      </c>
      <c r="M893">
        <f t="shared" ca="1" si="69"/>
        <v>239</v>
      </c>
      <c r="N893" s="15">
        <f t="shared" si="67"/>
        <v>20000</v>
      </c>
      <c r="O893" t="str">
        <f t="shared" ca="1" si="68"/>
        <v>90+ Days</v>
      </c>
    </row>
    <row r="894" spans="1:15" x14ac:dyDescent="0.3">
      <c r="A894" s="2" t="s">
        <v>1415</v>
      </c>
      <c r="B894" s="3" t="s">
        <v>527</v>
      </c>
      <c r="C894" s="2" t="s">
        <v>12</v>
      </c>
      <c r="D894" s="2" t="str">
        <f t="shared" si="65"/>
        <v>Jul</v>
      </c>
      <c r="E894" s="24" t="s">
        <v>54</v>
      </c>
      <c r="F894" s="20" t="s">
        <v>44</v>
      </c>
      <c r="G894" s="20" t="s">
        <v>333</v>
      </c>
      <c r="H894" s="20"/>
      <c r="I894" s="4">
        <v>40000</v>
      </c>
      <c r="J894" s="4">
        <v>0</v>
      </c>
      <c r="K894" s="12" t="s">
        <v>71</v>
      </c>
      <c r="L894">
        <f t="shared" si="66"/>
        <v>1</v>
      </c>
      <c r="M894">
        <f t="shared" ca="1" si="69"/>
        <v>347</v>
      </c>
      <c r="N894" s="15">
        <f t="shared" si="67"/>
        <v>40000</v>
      </c>
      <c r="O894" t="str">
        <f t="shared" ca="1" si="68"/>
        <v>90+ Days</v>
      </c>
    </row>
    <row r="895" spans="1:15" x14ac:dyDescent="0.3">
      <c r="A895" s="6" t="s">
        <v>1416</v>
      </c>
      <c r="B895" s="7" t="s">
        <v>78</v>
      </c>
      <c r="C895" s="6" t="s">
        <v>33</v>
      </c>
      <c r="D895" s="2" t="str">
        <f t="shared" si="65"/>
        <v>Feb</v>
      </c>
      <c r="E895" s="25" t="s">
        <v>199</v>
      </c>
      <c r="F895" s="21" t="s">
        <v>200</v>
      </c>
      <c r="G895" s="21" t="s">
        <v>201</v>
      </c>
      <c r="H895" s="21" t="s">
        <v>1070</v>
      </c>
      <c r="I895" s="8">
        <v>100000</v>
      </c>
      <c r="J895" s="8">
        <v>100000</v>
      </c>
      <c r="K895" s="5" t="s">
        <v>17</v>
      </c>
      <c r="L895">
        <f t="shared" si="66"/>
        <v>2</v>
      </c>
      <c r="M895">
        <f t="shared" ca="1" si="69"/>
        <v>26</v>
      </c>
      <c r="N895" s="15">
        <f t="shared" si="67"/>
        <v>0</v>
      </c>
      <c r="O895" t="str">
        <f t="shared" ca="1" si="68"/>
        <v>0-30 Days</v>
      </c>
    </row>
    <row r="896" spans="1:15" x14ac:dyDescent="0.3">
      <c r="A896" s="2" t="s">
        <v>1417</v>
      </c>
      <c r="B896" s="3" t="s">
        <v>280</v>
      </c>
      <c r="C896" s="2" t="s">
        <v>33</v>
      </c>
      <c r="D896" s="2" t="str">
        <f t="shared" si="65"/>
        <v>Sep</v>
      </c>
      <c r="E896" s="24" t="s">
        <v>599</v>
      </c>
      <c r="F896" s="20" t="s">
        <v>290</v>
      </c>
      <c r="G896" s="20" t="s">
        <v>327</v>
      </c>
      <c r="H896" s="20" t="s">
        <v>707</v>
      </c>
      <c r="I896" s="4">
        <v>12000</v>
      </c>
      <c r="J896" s="4">
        <v>12000</v>
      </c>
      <c r="K896" s="5" t="s">
        <v>17</v>
      </c>
      <c r="L896">
        <f t="shared" si="66"/>
        <v>2</v>
      </c>
      <c r="M896">
        <f t="shared" ca="1" si="69"/>
        <v>19</v>
      </c>
      <c r="N896" s="15">
        <f t="shared" si="67"/>
        <v>0</v>
      </c>
      <c r="O896" t="str">
        <f t="shared" ca="1" si="68"/>
        <v>0-30 Days</v>
      </c>
    </row>
    <row r="897" spans="1:15" x14ac:dyDescent="0.3">
      <c r="A897" s="6" t="s">
        <v>1418</v>
      </c>
      <c r="B897" s="7" t="s">
        <v>73</v>
      </c>
      <c r="C897" s="6" t="s">
        <v>26</v>
      </c>
      <c r="D897" s="2" t="str">
        <f t="shared" si="65"/>
        <v>Jan</v>
      </c>
      <c r="E897" s="25" t="s">
        <v>329</v>
      </c>
      <c r="F897" s="21" t="s">
        <v>754</v>
      </c>
      <c r="G897" s="21" t="s">
        <v>80</v>
      </c>
      <c r="H897" s="21" t="s">
        <v>502</v>
      </c>
      <c r="I897" s="8">
        <v>75000</v>
      </c>
      <c r="J897" s="8">
        <v>75000</v>
      </c>
      <c r="K897" s="5" t="s">
        <v>17</v>
      </c>
      <c r="L897">
        <f t="shared" si="66"/>
        <v>3</v>
      </c>
      <c r="M897">
        <f t="shared" ca="1" si="69"/>
        <v>21</v>
      </c>
      <c r="N897" s="15">
        <f t="shared" si="67"/>
        <v>0</v>
      </c>
      <c r="O897" t="str">
        <f t="shared" ca="1" si="68"/>
        <v>0-30 Days</v>
      </c>
    </row>
    <row r="898" spans="1:15" x14ac:dyDescent="0.3">
      <c r="A898" s="2" t="s">
        <v>1419</v>
      </c>
      <c r="B898" s="3" t="s">
        <v>11</v>
      </c>
      <c r="C898" s="2" t="s">
        <v>12</v>
      </c>
      <c r="D898" s="2" t="str">
        <f t="shared" si="65"/>
        <v>May</v>
      </c>
      <c r="E898" s="24" t="s">
        <v>224</v>
      </c>
      <c r="F898" s="20" t="s">
        <v>42</v>
      </c>
      <c r="G898" s="20" t="s">
        <v>43</v>
      </c>
      <c r="H898" s="20" t="s">
        <v>747</v>
      </c>
      <c r="I898" s="4">
        <v>50000</v>
      </c>
      <c r="J898" s="4">
        <v>50000</v>
      </c>
      <c r="K898" s="9" t="s">
        <v>45</v>
      </c>
      <c r="L898">
        <f t="shared" si="66"/>
        <v>3</v>
      </c>
      <c r="M898">
        <f t="shared" ca="1" si="69"/>
        <v>49</v>
      </c>
      <c r="N898" s="15">
        <f t="shared" si="67"/>
        <v>0</v>
      </c>
      <c r="O898" t="str">
        <f t="shared" ca="1" si="68"/>
        <v>31-60 Days</v>
      </c>
    </row>
    <row r="899" spans="1:15" x14ac:dyDescent="0.3">
      <c r="A899" s="6" t="s">
        <v>1420</v>
      </c>
      <c r="B899" s="7" t="s">
        <v>336</v>
      </c>
      <c r="C899" s="6" t="s">
        <v>26</v>
      </c>
      <c r="D899" s="2" t="str">
        <f t="shared" ref="D899:D962" si="70">MID(E899, 4, 3)</f>
        <v>Jul</v>
      </c>
      <c r="E899" s="25" t="s">
        <v>747</v>
      </c>
      <c r="F899" s="21" t="s">
        <v>344</v>
      </c>
      <c r="G899" s="21" t="s">
        <v>815</v>
      </c>
      <c r="H899" s="21" t="s">
        <v>480</v>
      </c>
      <c r="I899" s="8">
        <v>12000</v>
      </c>
      <c r="J899" s="8">
        <v>12000</v>
      </c>
      <c r="K899" s="5" t="s">
        <v>17</v>
      </c>
      <c r="L899">
        <f t="shared" ref="L899:L962" si="71">F899-E899</f>
        <v>3</v>
      </c>
      <c r="M899">
        <f t="shared" ca="1" si="69"/>
        <v>25</v>
      </c>
      <c r="N899" s="15">
        <f t="shared" ref="N899:N962" si="72">I899-J899</f>
        <v>0</v>
      </c>
      <c r="O899" t="str">
        <f t="shared" ref="O899:O962" ca="1" si="73">IF(M899&lt;=30,"0-30 Days",
IF(M899&lt;=60,"31-60 Days",
IF(M899&lt;=90,"61-90 Days","90+ Days")))</f>
        <v>0-30 Days</v>
      </c>
    </row>
    <row r="900" spans="1:15" x14ac:dyDescent="0.3">
      <c r="A900" s="2" t="s">
        <v>1421</v>
      </c>
      <c r="B900" s="3" t="s">
        <v>212</v>
      </c>
      <c r="C900" s="2" t="s">
        <v>12</v>
      </c>
      <c r="D900" s="2" t="str">
        <f t="shared" si="70"/>
        <v>Sep</v>
      </c>
      <c r="E900" s="24" t="s">
        <v>213</v>
      </c>
      <c r="F900" s="20" t="s">
        <v>118</v>
      </c>
      <c r="G900" s="20" t="s">
        <v>273</v>
      </c>
      <c r="H900" s="20"/>
      <c r="I900" s="4">
        <v>12000</v>
      </c>
      <c r="J900" s="4">
        <v>0</v>
      </c>
      <c r="K900" s="11" t="s">
        <v>63</v>
      </c>
      <c r="L900">
        <f t="shared" si="71"/>
        <v>2</v>
      </c>
      <c r="M900">
        <f t="shared" ref="M900:M963" ca="1" si="74">IF(H900="",TODAY()-F900,H900-F900)</f>
        <v>265</v>
      </c>
      <c r="N900" s="15">
        <f t="shared" si="72"/>
        <v>12000</v>
      </c>
      <c r="O900" t="str">
        <f t="shared" ca="1" si="73"/>
        <v>90+ Days</v>
      </c>
    </row>
    <row r="901" spans="1:15" x14ac:dyDescent="0.3">
      <c r="A901" s="6" t="s">
        <v>1422</v>
      </c>
      <c r="B901" s="7" t="s">
        <v>198</v>
      </c>
      <c r="C901" s="6" t="s">
        <v>26</v>
      </c>
      <c r="D901" s="2" t="str">
        <f t="shared" si="70"/>
        <v>Sep</v>
      </c>
      <c r="E901" s="25" t="s">
        <v>213</v>
      </c>
      <c r="F901" s="21" t="s">
        <v>118</v>
      </c>
      <c r="G901" s="21" t="s">
        <v>273</v>
      </c>
      <c r="H901" s="21"/>
      <c r="I901" s="8">
        <v>100000</v>
      </c>
      <c r="J901" s="8">
        <v>0</v>
      </c>
      <c r="K901" s="10" t="s">
        <v>57</v>
      </c>
      <c r="L901">
        <f t="shared" si="71"/>
        <v>2</v>
      </c>
      <c r="M901">
        <f t="shared" ca="1" si="74"/>
        <v>265</v>
      </c>
      <c r="N901" s="15">
        <f t="shared" si="72"/>
        <v>100000</v>
      </c>
      <c r="O901" t="str">
        <f t="shared" ca="1" si="73"/>
        <v>90+ Days</v>
      </c>
    </row>
    <row r="902" spans="1:15" x14ac:dyDescent="0.3">
      <c r="A902" s="2" t="s">
        <v>1423</v>
      </c>
      <c r="B902" s="3" t="s">
        <v>347</v>
      </c>
      <c r="C902" s="2" t="s">
        <v>12</v>
      </c>
      <c r="D902" s="2" t="str">
        <f t="shared" si="70"/>
        <v>Sep</v>
      </c>
      <c r="E902" s="24" t="s">
        <v>617</v>
      </c>
      <c r="F902" s="20" t="s">
        <v>484</v>
      </c>
      <c r="G902" s="20" t="s">
        <v>243</v>
      </c>
      <c r="H902" s="20" t="s">
        <v>589</v>
      </c>
      <c r="I902" s="4">
        <v>5000</v>
      </c>
      <c r="J902" s="4">
        <v>5000</v>
      </c>
      <c r="K902" s="5" t="s">
        <v>17</v>
      </c>
      <c r="L902">
        <f t="shared" si="71"/>
        <v>2</v>
      </c>
      <c r="M902">
        <f t="shared" ca="1" si="74"/>
        <v>9</v>
      </c>
      <c r="N902" s="15">
        <f t="shared" si="72"/>
        <v>0</v>
      </c>
      <c r="O902" t="str">
        <f t="shared" ca="1" si="73"/>
        <v>0-30 Days</v>
      </c>
    </row>
    <row r="903" spans="1:15" x14ac:dyDescent="0.3">
      <c r="A903" s="6" t="s">
        <v>1424</v>
      </c>
      <c r="B903" s="7" t="s">
        <v>242</v>
      </c>
      <c r="C903" s="6" t="s">
        <v>12</v>
      </c>
      <c r="D903" s="2" t="str">
        <f t="shared" si="70"/>
        <v>Mar</v>
      </c>
      <c r="E903" s="25" t="s">
        <v>422</v>
      </c>
      <c r="F903" s="21" t="s">
        <v>22</v>
      </c>
      <c r="G903" s="21" t="s">
        <v>412</v>
      </c>
      <c r="H903" s="21" t="s">
        <v>222</v>
      </c>
      <c r="I903" s="8">
        <v>10000</v>
      </c>
      <c r="J903" s="8">
        <v>10000</v>
      </c>
      <c r="K903" s="5" t="s">
        <v>17</v>
      </c>
      <c r="L903">
        <f t="shared" si="71"/>
        <v>1</v>
      </c>
      <c r="M903">
        <f t="shared" ca="1" si="74"/>
        <v>13</v>
      </c>
      <c r="N903" s="15">
        <f t="shared" si="72"/>
        <v>0</v>
      </c>
      <c r="O903" t="str">
        <f t="shared" ca="1" si="73"/>
        <v>0-30 Days</v>
      </c>
    </row>
    <row r="904" spans="1:15" x14ac:dyDescent="0.3">
      <c r="A904" s="2" t="s">
        <v>1425</v>
      </c>
      <c r="B904" s="3" t="s">
        <v>252</v>
      </c>
      <c r="C904" s="2" t="s">
        <v>12</v>
      </c>
      <c r="D904" s="2" t="str">
        <f t="shared" si="70"/>
        <v>Mar</v>
      </c>
      <c r="E904" s="24" t="s">
        <v>181</v>
      </c>
      <c r="F904" s="20" t="s">
        <v>725</v>
      </c>
      <c r="G904" s="20" t="s">
        <v>890</v>
      </c>
      <c r="H904" s="20" t="s">
        <v>576</v>
      </c>
      <c r="I904" s="4">
        <v>25000</v>
      </c>
      <c r="J904" s="4">
        <v>25000</v>
      </c>
      <c r="K904" s="5" t="s">
        <v>17</v>
      </c>
      <c r="L904">
        <f t="shared" si="71"/>
        <v>1</v>
      </c>
      <c r="M904">
        <f t="shared" ca="1" si="74"/>
        <v>27</v>
      </c>
      <c r="N904" s="15">
        <f t="shared" si="72"/>
        <v>0</v>
      </c>
      <c r="O904" t="str">
        <f t="shared" ca="1" si="73"/>
        <v>0-30 Days</v>
      </c>
    </row>
    <row r="905" spans="1:15" x14ac:dyDescent="0.3">
      <c r="A905" s="6" t="s">
        <v>1426</v>
      </c>
      <c r="B905" s="7" t="s">
        <v>702</v>
      </c>
      <c r="C905" s="6" t="s">
        <v>40</v>
      </c>
      <c r="D905" s="2" t="str">
        <f t="shared" si="70"/>
        <v>Dec</v>
      </c>
      <c r="E905" s="25" t="s">
        <v>74</v>
      </c>
      <c r="F905" s="21" t="s">
        <v>75</v>
      </c>
      <c r="G905" s="21" t="s">
        <v>76</v>
      </c>
      <c r="H905" s="21"/>
      <c r="I905" s="8">
        <v>18000</v>
      </c>
      <c r="J905" s="8">
        <v>0</v>
      </c>
      <c r="K905" s="10" t="s">
        <v>57</v>
      </c>
      <c r="L905">
        <f t="shared" si="71"/>
        <v>1</v>
      </c>
      <c r="M905">
        <f t="shared" ca="1" si="74"/>
        <v>192</v>
      </c>
      <c r="N905" s="15">
        <f t="shared" si="72"/>
        <v>18000</v>
      </c>
      <c r="O905" t="str">
        <f t="shared" ca="1" si="73"/>
        <v>90+ Days</v>
      </c>
    </row>
    <row r="906" spans="1:15" x14ac:dyDescent="0.3">
      <c r="A906" s="2" t="s">
        <v>1427</v>
      </c>
      <c r="B906" s="3" t="s">
        <v>651</v>
      </c>
      <c r="C906" s="2" t="s">
        <v>12</v>
      </c>
      <c r="D906" s="2" t="str">
        <f t="shared" si="70"/>
        <v>Feb</v>
      </c>
      <c r="E906" s="24" t="s">
        <v>14</v>
      </c>
      <c r="F906" s="20" t="s">
        <v>1070</v>
      </c>
      <c r="G906" s="20" t="s">
        <v>219</v>
      </c>
      <c r="H906" s="20" t="s">
        <v>81</v>
      </c>
      <c r="I906" s="4">
        <v>35000</v>
      </c>
      <c r="J906" s="4">
        <v>35000</v>
      </c>
      <c r="K906" s="5" t="s">
        <v>17</v>
      </c>
      <c r="L906">
        <f t="shared" si="71"/>
        <v>2</v>
      </c>
      <c r="M906">
        <f t="shared" ca="1" si="74"/>
        <v>23</v>
      </c>
      <c r="N906" s="15">
        <f t="shared" si="72"/>
        <v>0</v>
      </c>
      <c r="O906" t="str">
        <f t="shared" ca="1" si="73"/>
        <v>0-30 Days</v>
      </c>
    </row>
    <row r="907" spans="1:15" x14ac:dyDescent="0.3">
      <c r="A907" s="6" t="s">
        <v>1428</v>
      </c>
      <c r="B907" s="7" t="s">
        <v>84</v>
      </c>
      <c r="C907" s="6" t="s">
        <v>12</v>
      </c>
      <c r="D907" s="2" t="str">
        <f t="shared" si="70"/>
        <v>Nov</v>
      </c>
      <c r="E907" s="25" t="s">
        <v>91</v>
      </c>
      <c r="F907" s="21" t="s">
        <v>465</v>
      </c>
      <c r="G907" s="21" t="s">
        <v>390</v>
      </c>
      <c r="H907" s="21" t="s">
        <v>281</v>
      </c>
      <c r="I907" s="8">
        <v>5000</v>
      </c>
      <c r="J907" s="8">
        <v>5000</v>
      </c>
      <c r="K907" s="5" t="s">
        <v>17</v>
      </c>
      <c r="L907">
        <f t="shared" si="71"/>
        <v>2</v>
      </c>
      <c r="M907">
        <f t="shared" ca="1" si="74"/>
        <v>9</v>
      </c>
      <c r="N907" s="15">
        <f t="shared" si="72"/>
        <v>0</v>
      </c>
      <c r="O907" t="str">
        <f t="shared" ca="1" si="73"/>
        <v>0-30 Days</v>
      </c>
    </row>
    <row r="908" spans="1:15" x14ac:dyDescent="0.3">
      <c r="A908" s="2" t="s">
        <v>1429</v>
      </c>
      <c r="B908" s="3" t="s">
        <v>402</v>
      </c>
      <c r="C908" s="2" t="s">
        <v>12</v>
      </c>
      <c r="D908" s="2" t="str">
        <f t="shared" si="70"/>
        <v>Oct</v>
      </c>
      <c r="E908" s="24" t="s">
        <v>184</v>
      </c>
      <c r="F908" s="20" t="s">
        <v>269</v>
      </c>
      <c r="G908" s="20" t="s">
        <v>301</v>
      </c>
      <c r="H908" s="20" t="s">
        <v>363</v>
      </c>
      <c r="I908" s="4">
        <v>20000</v>
      </c>
      <c r="J908" s="4">
        <v>20000</v>
      </c>
      <c r="K908" s="9" t="s">
        <v>45</v>
      </c>
      <c r="L908">
        <f t="shared" si="71"/>
        <v>1</v>
      </c>
      <c r="M908">
        <f t="shared" ca="1" si="74"/>
        <v>32</v>
      </c>
      <c r="N908" s="15">
        <f t="shared" si="72"/>
        <v>0</v>
      </c>
      <c r="O908" t="str">
        <f t="shared" ca="1" si="73"/>
        <v>31-60 Days</v>
      </c>
    </row>
    <row r="909" spans="1:15" x14ac:dyDescent="0.3">
      <c r="A909" s="6" t="s">
        <v>1430</v>
      </c>
      <c r="B909" s="7" t="s">
        <v>402</v>
      </c>
      <c r="C909" s="6" t="s">
        <v>12</v>
      </c>
      <c r="D909" s="2" t="str">
        <f t="shared" si="70"/>
        <v>Mar</v>
      </c>
      <c r="E909" s="25" t="s">
        <v>976</v>
      </c>
      <c r="F909" s="21" t="s">
        <v>181</v>
      </c>
      <c r="G909" s="21" t="s">
        <v>538</v>
      </c>
      <c r="H909" s="21" t="s">
        <v>451</v>
      </c>
      <c r="I909" s="8">
        <v>25000</v>
      </c>
      <c r="J909" s="8">
        <v>25000</v>
      </c>
      <c r="K909" s="5" t="s">
        <v>17</v>
      </c>
      <c r="L909">
        <f t="shared" si="71"/>
        <v>1</v>
      </c>
      <c r="M909">
        <f t="shared" ca="1" si="74"/>
        <v>10</v>
      </c>
      <c r="N909" s="15">
        <f t="shared" si="72"/>
        <v>0</v>
      </c>
      <c r="O909" t="str">
        <f t="shared" ca="1" si="73"/>
        <v>0-30 Days</v>
      </c>
    </row>
    <row r="910" spans="1:15" x14ac:dyDescent="0.3">
      <c r="A910" s="2" t="s">
        <v>1431</v>
      </c>
      <c r="B910" s="3" t="s">
        <v>487</v>
      </c>
      <c r="C910" s="2" t="s">
        <v>33</v>
      </c>
      <c r="D910" s="2" t="str">
        <f t="shared" si="70"/>
        <v>Jul</v>
      </c>
      <c r="E910" s="24" t="s">
        <v>523</v>
      </c>
      <c r="F910" s="20" t="s">
        <v>226</v>
      </c>
      <c r="G910" s="20" t="s">
        <v>342</v>
      </c>
      <c r="H910" s="20"/>
      <c r="I910" s="4">
        <v>5000</v>
      </c>
      <c r="J910" s="4">
        <v>0</v>
      </c>
      <c r="K910" s="10" t="s">
        <v>57</v>
      </c>
      <c r="L910">
        <f t="shared" si="71"/>
        <v>3</v>
      </c>
      <c r="M910">
        <f t="shared" ca="1" si="74"/>
        <v>321</v>
      </c>
      <c r="N910" s="15">
        <f t="shared" si="72"/>
        <v>5000</v>
      </c>
      <c r="O910" t="str">
        <f t="shared" ca="1" si="73"/>
        <v>90+ Days</v>
      </c>
    </row>
    <row r="911" spans="1:15" x14ac:dyDescent="0.3">
      <c r="A911" s="6" t="s">
        <v>1432</v>
      </c>
      <c r="B911" s="7" t="s">
        <v>59</v>
      </c>
      <c r="C911" s="6" t="s">
        <v>12</v>
      </c>
      <c r="D911" s="2" t="str">
        <f t="shared" si="70"/>
        <v>Dec</v>
      </c>
      <c r="E911" s="25" t="s">
        <v>74</v>
      </c>
      <c r="F911" s="21" t="s">
        <v>168</v>
      </c>
      <c r="G911" s="21" t="s">
        <v>304</v>
      </c>
      <c r="H911" s="21" t="s">
        <v>653</v>
      </c>
      <c r="I911" s="8">
        <v>10000</v>
      </c>
      <c r="J911" s="8">
        <v>10000</v>
      </c>
      <c r="K911" s="5" t="s">
        <v>17</v>
      </c>
      <c r="L911">
        <f t="shared" si="71"/>
        <v>2</v>
      </c>
      <c r="M911">
        <f t="shared" ca="1" si="74"/>
        <v>24</v>
      </c>
      <c r="N911" s="15">
        <f t="shared" si="72"/>
        <v>0</v>
      </c>
      <c r="O911" t="str">
        <f t="shared" ca="1" si="73"/>
        <v>0-30 Days</v>
      </c>
    </row>
    <row r="912" spans="1:15" x14ac:dyDescent="0.3">
      <c r="A912" s="2" t="s">
        <v>1433</v>
      </c>
      <c r="B912" s="3" t="s">
        <v>461</v>
      </c>
      <c r="C912" s="2" t="s">
        <v>12</v>
      </c>
      <c r="D912" s="2" t="str">
        <f t="shared" si="70"/>
        <v>Sep</v>
      </c>
      <c r="E912" s="24" t="s">
        <v>399</v>
      </c>
      <c r="F912" s="20" t="s">
        <v>670</v>
      </c>
      <c r="G912" s="20" t="s">
        <v>432</v>
      </c>
      <c r="H912" s="20"/>
      <c r="I912" s="4">
        <v>40000</v>
      </c>
      <c r="J912" s="4">
        <v>0</v>
      </c>
      <c r="K912" s="10" t="s">
        <v>57</v>
      </c>
      <c r="L912">
        <f t="shared" si="71"/>
        <v>1</v>
      </c>
      <c r="M912">
        <f t="shared" ca="1" si="74"/>
        <v>284</v>
      </c>
      <c r="N912" s="15">
        <f t="shared" si="72"/>
        <v>40000</v>
      </c>
      <c r="O912" t="str">
        <f t="shared" ca="1" si="73"/>
        <v>90+ Days</v>
      </c>
    </row>
    <row r="913" spans="1:15" x14ac:dyDescent="0.3">
      <c r="A913" s="6" t="s">
        <v>1434</v>
      </c>
      <c r="B913" s="7" t="s">
        <v>593</v>
      </c>
      <c r="C913" s="6" t="s">
        <v>12</v>
      </c>
      <c r="D913" s="2" t="str">
        <f t="shared" si="70"/>
        <v>Mar</v>
      </c>
      <c r="E913" s="25" t="s">
        <v>23</v>
      </c>
      <c r="F913" s="21" t="s">
        <v>181</v>
      </c>
      <c r="G913" s="21" t="s">
        <v>538</v>
      </c>
      <c r="H913" s="21" t="s">
        <v>411</v>
      </c>
      <c r="I913" s="8">
        <v>25000</v>
      </c>
      <c r="J913" s="8">
        <v>25000</v>
      </c>
      <c r="K913" s="9" t="s">
        <v>45</v>
      </c>
      <c r="L913">
        <f t="shared" si="71"/>
        <v>3</v>
      </c>
      <c r="M913">
        <f t="shared" ca="1" si="74"/>
        <v>47</v>
      </c>
      <c r="N913" s="15">
        <f t="shared" si="72"/>
        <v>0</v>
      </c>
      <c r="O913" t="str">
        <f t="shared" ca="1" si="73"/>
        <v>31-60 Days</v>
      </c>
    </row>
    <row r="914" spans="1:15" x14ac:dyDescent="0.3">
      <c r="A914" s="2" t="s">
        <v>1435</v>
      </c>
      <c r="B914" s="3" t="s">
        <v>255</v>
      </c>
      <c r="C914" s="2" t="s">
        <v>26</v>
      </c>
      <c r="D914" s="2" t="str">
        <f t="shared" si="70"/>
        <v>Mar</v>
      </c>
      <c r="E914" s="24" t="s">
        <v>22</v>
      </c>
      <c r="F914" s="20" t="s">
        <v>15</v>
      </c>
      <c r="G914" s="20" t="s">
        <v>209</v>
      </c>
      <c r="H914" s="20" t="s">
        <v>51</v>
      </c>
      <c r="I914" s="4">
        <v>75000</v>
      </c>
      <c r="J914" s="4">
        <v>18750</v>
      </c>
      <c r="K914" s="13" t="s">
        <v>113</v>
      </c>
      <c r="L914">
        <f t="shared" si="71"/>
        <v>3</v>
      </c>
      <c r="M914">
        <f t="shared" ca="1" si="74"/>
        <v>9</v>
      </c>
      <c r="N914" s="15">
        <f t="shared" si="72"/>
        <v>56250</v>
      </c>
      <c r="O914" t="str">
        <f t="shared" ca="1" si="73"/>
        <v>0-30 Days</v>
      </c>
    </row>
    <row r="915" spans="1:15" x14ac:dyDescent="0.3">
      <c r="A915" s="6" t="s">
        <v>1436</v>
      </c>
      <c r="B915" s="7" t="s">
        <v>65</v>
      </c>
      <c r="C915" s="6" t="s">
        <v>12</v>
      </c>
      <c r="D915" s="2" t="str">
        <f t="shared" si="70"/>
        <v>Jul</v>
      </c>
      <c r="E915" s="25" t="s">
        <v>608</v>
      </c>
      <c r="F915" s="21" t="s">
        <v>625</v>
      </c>
      <c r="G915" s="21" t="s">
        <v>626</v>
      </c>
      <c r="H915" s="21" t="s">
        <v>472</v>
      </c>
      <c r="I915" s="8">
        <v>15000</v>
      </c>
      <c r="J915" s="8">
        <v>15000</v>
      </c>
      <c r="K915" s="5" t="s">
        <v>17</v>
      </c>
      <c r="L915">
        <f t="shared" si="71"/>
        <v>1</v>
      </c>
      <c r="M915">
        <f t="shared" ca="1" si="74"/>
        <v>21</v>
      </c>
      <c r="N915" s="15">
        <f t="shared" si="72"/>
        <v>0</v>
      </c>
      <c r="O915" t="str">
        <f t="shared" ca="1" si="73"/>
        <v>0-30 Days</v>
      </c>
    </row>
    <row r="916" spans="1:15" x14ac:dyDescent="0.3">
      <c r="A916" s="2" t="s">
        <v>1437</v>
      </c>
      <c r="B916" s="3" t="s">
        <v>293</v>
      </c>
      <c r="C916" s="2" t="s">
        <v>12</v>
      </c>
      <c r="D916" s="2" t="str">
        <f t="shared" si="70"/>
        <v>Dec</v>
      </c>
      <c r="E916" s="24" t="s">
        <v>573</v>
      </c>
      <c r="F916" s="20" t="s">
        <v>98</v>
      </c>
      <c r="G916" s="20" t="s">
        <v>530</v>
      </c>
      <c r="H916" s="20" t="s">
        <v>1066</v>
      </c>
      <c r="I916" s="4">
        <v>20000</v>
      </c>
      <c r="J916" s="4">
        <v>20000</v>
      </c>
      <c r="K916" s="9" t="s">
        <v>45</v>
      </c>
      <c r="L916">
        <f t="shared" si="71"/>
        <v>2</v>
      </c>
      <c r="M916">
        <f t="shared" ca="1" si="74"/>
        <v>36</v>
      </c>
      <c r="N916" s="15">
        <f t="shared" si="72"/>
        <v>0</v>
      </c>
      <c r="O916" t="str">
        <f t="shared" ca="1" si="73"/>
        <v>31-60 Days</v>
      </c>
    </row>
    <row r="917" spans="1:15" x14ac:dyDescent="0.3">
      <c r="A917" s="6" t="s">
        <v>1438</v>
      </c>
      <c r="B917" s="7" t="s">
        <v>461</v>
      </c>
      <c r="C917" s="6" t="s">
        <v>12</v>
      </c>
      <c r="D917" s="2" t="str">
        <f t="shared" si="70"/>
        <v>Nov</v>
      </c>
      <c r="E917" s="25" t="s">
        <v>278</v>
      </c>
      <c r="F917" s="21" t="s">
        <v>260</v>
      </c>
      <c r="G917" s="21" t="s">
        <v>631</v>
      </c>
      <c r="H917" s="21"/>
      <c r="I917" s="8">
        <v>8000</v>
      </c>
      <c r="J917" s="8">
        <v>0</v>
      </c>
      <c r="K917" s="10" t="s">
        <v>57</v>
      </c>
      <c r="L917">
        <f t="shared" si="71"/>
        <v>3</v>
      </c>
      <c r="M917">
        <f t="shared" ca="1" si="74"/>
        <v>214</v>
      </c>
      <c r="N917" s="15">
        <f t="shared" si="72"/>
        <v>8000</v>
      </c>
      <c r="O917" t="str">
        <f t="shared" ca="1" si="73"/>
        <v>90+ Days</v>
      </c>
    </row>
    <row r="918" spans="1:15" x14ac:dyDescent="0.3">
      <c r="A918" s="2" t="s">
        <v>1439</v>
      </c>
      <c r="B918" s="3" t="s">
        <v>454</v>
      </c>
      <c r="C918" s="2" t="s">
        <v>12</v>
      </c>
      <c r="D918" s="2" t="str">
        <f t="shared" si="70"/>
        <v>Sep</v>
      </c>
      <c r="E918" s="24" t="s">
        <v>117</v>
      </c>
      <c r="F918" s="20" t="s">
        <v>672</v>
      </c>
      <c r="G918" s="20" t="s">
        <v>35</v>
      </c>
      <c r="H918" s="20" t="s">
        <v>290</v>
      </c>
      <c r="I918" s="4">
        <v>10000</v>
      </c>
      <c r="J918" s="4">
        <v>10000</v>
      </c>
      <c r="K918" s="5" t="s">
        <v>17</v>
      </c>
      <c r="L918">
        <f t="shared" si="71"/>
        <v>1</v>
      </c>
      <c r="M918">
        <f t="shared" ca="1" si="74"/>
        <v>9</v>
      </c>
      <c r="N918" s="15">
        <f t="shared" si="72"/>
        <v>0</v>
      </c>
      <c r="O918" t="str">
        <f t="shared" ca="1" si="73"/>
        <v>0-30 Days</v>
      </c>
    </row>
    <row r="919" spans="1:15" x14ac:dyDescent="0.3">
      <c r="A919" s="6" t="s">
        <v>1440</v>
      </c>
      <c r="B919" s="7" t="s">
        <v>389</v>
      </c>
      <c r="C919" s="6" t="s">
        <v>12</v>
      </c>
      <c r="D919" s="2" t="str">
        <f t="shared" si="70"/>
        <v>Oct</v>
      </c>
      <c r="E919" s="25" t="s">
        <v>400</v>
      </c>
      <c r="F919" s="21" t="s">
        <v>432</v>
      </c>
      <c r="G919" s="21" t="s">
        <v>37</v>
      </c>
      <c r="H919" s="21" t="s">
        <v>392</v>
      </c>
      <c r="I919" s="8">
        <v>18000</v>
      </c>
      <c r="J919" s="8">
        <v>18000</v>
      </c>
      <c r="K919" s="5" t="s">
        <v>17</v>
      </c>
      <c r="L919">
        <f t="shared" si="71"/>
        <v>1</v>
      </c>
      <c r="M919">
        <f t="shared" ca="1" si="74"/>
        <v>16</v>
      </c>
      <c r="N919" s="15">
        <f t="shared" si="72"/>
        <v>0</v>
      </c>
      <c r="O919" t="str">
        <f t="shared" ca="1" si="73"/>
        <v>0-30 Days</v>
      </c>
    </row>
    <row r="920" spans="1:15" x14ac:dyDescent="0.3">
      <c r="A920" s="2" t="s">
        <v>1441</v>
      </c>
      <c r="B920" s="3" t="s">
        <v>73</v>
      </c>
      <c r="C920" s="2" t="s">
        <v>26</v>
      </c>
      <c r="D920" s="2" t="str">
        <f t="shared" si="70"/>
        <v>Dec</v>
      </c>
      <c r="E920" s="24" t="s">
        <v>579</v>
      </c>
      <c r="F920" s="20" t="s">
        <v>167</v>
      </c>
      <c r="G920" s="20" t="s">
        <v>664</v>
      </c>
      <c r="H920" s="20" t="s">
        <v>192</v>
      </c>
      <c r="I920" s="4">
        <v>18000</v>
      </c>
      <c r="J920" s="4">
        <v>18000</v>
      </c>
      <c r="K920" s="5" t="s">
        <v>17</v>
      </c>
      <c r="L920">
        <f t="shared" si="71"/>
        <v>3</v>
      </c>
      <c r="M920">
        <f t="shared" ca="1" si="74"/>
        <v>20</v>
      </c>
      <c r="N920" s="15">
        <f t="shared" si="72"/>
        <v>0</v>
      </c>
      <c r="O920" t="str">
        <f t="shared" ca="1" si="73"/>
        <v>0-30 Days</v>
      </c>
    </row>
    <row r="921" spans="1:15" x14ac:dyDescent="0.3">
      <c r="A921" s="6" t="s">
        <v>1442</v>
      </c>
      <c r="B921" s="7" t="s">
        <v>794</v>
      </c>
      <c r="C921" s="6" t="s">
        <v>12</v>
      </c>
      <c r="D921" s="2" t="str">
        <f t="shared" si="70"/>
        <v>Jul</v>
      </c>
      <c r="E921" s="25" t="s">
        <v>344</v>
      </c>
      <c r="F921" s="21" t="s">
        <v>608</v>
      </c>
      <c r="G921" s="21" t="s">
        <v>555</v>
      </c>
      <c r="H921" s="21" t="s">
        <v>226</v>
      </c>
      <c r="I921" s="8">
        <v>15000</v>
      </c>
      <c r="J921" s="8">
        <v>15000</v>
      </c>
      <c r="K921" s="5" t="s">
        <v>17</v>
      </c>
      <c r="L921">
        <f t="shared" si="71"/>
        <v>2</v>
      </c>
      <c r="M921">
        <f t="shared" ca="1" si="74"/>
        <v>13</v>
      </c>
      <c r="N921" s="15">
        <f t="shared" si="72"/>
        <v>0</v>
      </c>
      <c r="O921" t="str">
        <f t="shared" ca="1" si="73"/>
        <v>0-30 Days</v>
      </c>
    </row>
    <row r="922" spans="1:15" x14ac:dyDescent="0.3">
      <c r="A922" s="2" t="s">
        <v>1443</v>
      </c>
      <c r="B922" s="3" t="s">
        <v>527</v>
      </c>
      <c r="C922" s="2" t="s">
        <v>12</v>
      </c>
      <c r="D922" s="2" t="str">
        <f t="shared" si="70"/>
        <v>Apr</v>
      </c>
      <c r="E922" s="24" t="s">
        <v>1017</v>
      </c>
      <c r="F922" s="20" t="s">
        <v>577</v>
      </c>
      <c r="G922" s="20" t="s">
        <v>506</v>
      </c>
      <c r="H922" s="20" t="s">
        <v>111</v>
      </c>
      <c r="I922" s="4">
        <v>60000</v>
      </c>
      <c r="J922" s="4">
        <v>60000</v>
      </c>
      <c r="K922" s="9" t="s">
        <v>45</v>
      </c>
      <c r="L922">
        <f t="shared" si="71"/>
        <v>1</v>
      </c>
      <c r="M922">
        <f t="shared" ca="1" si="74"/>
        <v>48</v>
      </c>
      <c r="N922" s="15">
        <f t="shared" si="72"/>
        <v>0</v>
      </c>
      <c r="O922" t="str">
        <f t="shared" ca="1" si="73"/>
        <v>31-60 Days</v>
      </c>
    </row>
    <row r="923" spans="1:15" x14ac:dyDescent="0.3">
      <c r="A923" s="6" t="s">
        <v>1444</v>
      </c>
      <c r="B923" s="7" t="s">
        <v>221</v>
      </c>
      <c r="C923" s="6" t="s">
        <v>12</v>
      </c>
      <c r="D923" s="2" t="str">
        <f t="shared" si="70"/>
        <v>May</v>
      </c>
      <c r="E923" s="25" t="s">
        <v>367</v>
      </c>
      <c r="F923" s="21" t="s">
        <v>404</v>
      </c>
      <c r="G923" s="21" t="s">
        <v>746</v>
      </c>
      <c r="H923" s="21"/>
      <c r="I923" s="8">
        <v>5000</v>
      </c>
      <c r="J923" s="8">
        <v>0</v>
      </c>
      <c r="K923" s="12" t="s">
        <v>71</v>
      </c>
      <c r="L923">
        <f t="shared" si="71"/>
        <v>1</v>
      </c>
      <c r="M923">
        <f t="shared" ca="1" si="74"/>
        <v>399</v>
      </c>
      <c r="N923" s="15">
        <f t="shared" si="72"/>
        <v>5000</v>
      </c>
      <c r="O923" t="str">
        <f t="shared" ca="1" si="73"/>
        <v>90+ Days</v>
      </c>
    </row>
    <row r="924" spans="1:15" x14ac:dyDescent="0.3">
      <c r="A924" s="2" t="s">
        <v>1445</v>
      </c>
      <c r="B924" s="3" t="s">
        <v>794</v>
      </c>
      <c r="C924" s="2" t="s">
        <v>12</v>
      </c>
      <c r="D924" s="2" t="str">
        <f t="shared" si="70"/>
        <v>Jan</v>
      </c>
      <c r="E924" s="24" t="s">
        <v>317</v>
      </c>
      <c r="F924" s="20" t="s">
        <v>1128</v>
      </c>
      <c r="G924" s="20" t="s">
        <v>803</v>
      </c>
      <c r="H924" s="20" t="s">
        <v>637</v>
      </c>
      <c r="I924" s="4">
        <v>45000</v>
      </c>
      <c r="J924" s="4">
        <v>45000</v>
      </c>
      <c r="K924" s="5" t="s">
        <v>17</v>
      </c>
      <c r="L924">
        <f t="shared" si="71"/>
        <v>3</v>
      </c>
      <c r="M924">
        <f t="shared" ca="1" si="74"/>
        <v>5</v>
      </c>
      <c r="N924" s="15">
        <f t="shared" si="72"/>
        <v>0</v>
      </c>
      <c r="O924" t="str">
        <f t="shared" ca="1" si="73"/>
        <v>0-30 Days</v>
      </c>
    </row>
    <row r="925" spans="1:15" x14ac:dyDescent="0.3">
      <c r="A925" s="6" t="s">
        <v>1446</v>
      </c>
      <c r="B925" s="7" t="s">
        <v>65</v>
      </c>
      <c r="C925" s="6" t="s">
        <v>12</v>
      </c>
      <c r="D925" s="2" t="str">
        <f t="shared" si="70"/>
        <v>Dec</v>
      </c>
      <c r="E925" s="25" t="s">
        <v>270</v>
      </c>
      <c r="F925" s="21" t="s">
        <v>363</v>
      </c>
      <c r="G925" s="21" t="s">
        <v>612</v>
      </c>
      <c r="H925" s="21" t="s">
        <v>94</v>
      </c>
      <c r="I925" s="8">
        <v>75000</v>
      </c>
      <c r="J925" s="8">
        <v>75000</v>
      </c>
      <c r="K925" s="5" t="s">
        <v>17</v>
      </c>
      <c r="L925">
        <f t="shared" si="71"/>
        <v>1</v>
      </c>
      <c r="M925">
        <f t="shared" ca="1" si="74"/>
        <v>8</v>
      </c>
      <c r="N925" s="15">
        <f t="shared" si="72"/>
        <v>0</v>
      </c>
      <c r="O925" t="str">
        <f t="shared" ca="1" si="73"/>
        <v>0-30 Days</v>
      </c>
    </row>
    <row r="926" spans="1:15" x14ac:dyDescent="0.3">
      <c r="A926" s="2" t="s">
        <v>1447</v>
      </c>
      <c r="B926" s="3" t="s">
        <v>135</v>
      </c>
      <c r="C926" s="2" t="s">
        <v>33</v>
      </c>
      <c r="D926" s="2" t="str">
        <f t="shared" si="70"/>
        <v>Aug</v>
      </c>
      <c r="E926" s="24" t="s">
        <v>70</v>
      </c>
      <c r="F926" s="20" t="s">
        <v>87</v>
      </c>
      <c r="G926" s="20" t="s">
        <v>484</v>
      </c>
      <c r="H926" s="20" t="s">
        <v>341</v>
      </c>
      <c r="I926" s="4">
        <v>50000</v>
      </c>
      <c r="J926" s="4">
        <v>50000</v>
      </c>
      <c r="K926" s="5" t="s">
        <v>17</v>
      </c>
      <c r="L926">
        <f t="shared" si="71"/>
        <v>3</v>
      </c>
      <c r="M926">
        <f t="shared" ca="1" si="74"/>
        <v>22</v>
      </c>
      <c r="N926" s="15">
        <f t="shared" si="72"/>
        <v>0</v>
      </c>
      <c r="O926" t="str">
        <f t="shared" ca="1" si="73"/>
        <v>0-30 Days</v>
      </c>
    </row>
    <row r="927" spans="1:15" x14ac:dyDescent="0.3">
      <c r="A927" s="6" t="s">
        <v>1448</v>
      </c>
      <c r="B927" s="7" t="s">
        <v>124</v>
      </c>
      <c r="C927" s="6" t="s">
        <v>12</v>
      </c>
      <c r="D927" s="2" t="str">
        <f t="shared" si="70"/>
        <v>Oct</v>
      </c>
      <c r="E927" s="25" t="s">
        <v>623</v>
      </c>
      <c r="F927" s="21" t="s">
        <v>376</v>
      </c>
      <c r="G927" s="21" t="s">
        <v>136</v>
      </c>
      <c r="H927" s="21"/>
      <c r="I927" s="8">
        <v>50000</v>
      </c>
      <c r="J927" s="8">
        <v>0</v>
      </c>
      <c r="K927" s="11" t="s">
        <v>63</v>
      </c>
      <c r="L927">
        <f t="shared" si="71"/>
        <v>2</v>
      </c>
      <c r="M927">
        <f t="shared" ca="1" si="74"/>
        <v>240</v>
      </c>
      <c r="N927" s="15">
        <f t="shared" si="72"/>
        <v>50000</v>
      </c>
      <c r="O927" t="str">
        <f t="shared" ca="1" si="73"/>
        <v>90+ Days</v>
      </c>
    </row>
    <row r="928" spans="1:15" x14ac:dyDescent="0.3">
      <c r="A928" s="2" t="s">
        <v>1449</v>
      </c>
      <c r="B928" s="3" t="s">
        <v>876</v>
      </c>
      <c r="C928" s="2" t="s">
        <v>12</v>
      </c>
      <c r="D928" s="2" t="str">
        <f t="shared" si="70"/>
        <v>Apr</v>
      </c>
      <c r="E928" s="24" t="s">
        <v>576</v>
      </c>
      <c r="F928" s="20" t="s">
        <v>538</v>
      </c>
      <c r="G928" s="20" t="s">
        <v>151</v>
      </c>
      <c r="H928" s="20"/>
      <c r="I928" s="4">
        <v>55000</v>
      </c>
      <c r="J928" s="4">
        <v>0</v>
      </c>
      <c r="K928" s="12" t="s">
        <v>71</v>
      </c>
      <c r="L928">
        <f t="shared" si="71"/>
        <v>2</v>
      </c>
      <c r="M928">
        <f t="shared" ca="1" si="74"/>
        <v>425</v>
      </c>
      <c r="N928" s="15">
        <f t="shared" si="72"/>
        <v>55000</v>
      </c>
      <c r="O928" t="str">
        <f t="shared" ca="1" si="73"/>
        <v>90+ Days</v>
      </c>
    </row>
    <row r="929" spans="1:15" x14ac:dyDescent="0.3">
      <c r="A929" s="6" t="s">
        <v>1450</v>
      </c>
      <c r="B929" s="7" t="s">
        <v>527</v>
      </c>
      <c r="C929" s="6" t="s">
        <v>12</v>
      </c>
      <c r="D929" s="2" t="str">
        <f t="shared" si="70"/>
        <v>Apr</v>
      </c>
      <c r="E929" s="25" t="s">
        <v>161</v>
      </c>
      <c r="F929" s="21" t="s">
        <v>237</v>
      </c>
      <c r="G929" s="21" t="s">
        <v>411</v>
      </c>
      <c r="H929" s="21" t="s">
        <v>404</v>
      </c>
      <c r="I929" s="8">
        <v>55000</v>
      </c>
      <c r="J929" s="8">
        <v>55000</v>
      </c>
      <c r="K929" s="9" t="s">
        <v>45</v>
      </c>
      <c r="L929">
        <f t="shared" si="71"/>
        <v>2</v>
      </c>
      <c r="M929">
        <f t="shared" ca="1" si="74"/>
        <v>39</v>
      </c>
      <c r="N929" s="15">
        <f t="shared" si="72"/>
        <v>0</v>
      </c>
      <c r="O929" t="str">
        <f t="shared" ca="1" si="73"/>
        <v>31-60 Days</v>
      </c>
    </row>
    <row r="930" spans="1:15" x14ac:dyDescent="0.3">
      <c r="A930" s="2" t="s">
        <v>1451</v>
      </c>
      <c r="B930" s="3" t="s">
        <v>750</v>
      </c>
      <c r="C930" s="2" t="s">
        <v>40</v>
      </c>
      <c r="D930" s="2" t="str">
        <f t="shared" si="70"/>
        <v>Oct</v>
      </c>
      <c r="E930" s="24" t="s">
        <v>307</v>
      </c>
      <c r="F930" s="20" t="s">
        <v>327</v>
      </c>
      <c r="G930" s="20" t="s">
        <v>166</v>
      </c>
      <c r="H930" s="20"/>
      <c r="I930" s="4">
        <v>12000</v>
      </c>
      <c r="J930" s="4">
        <v>0</v>
      </c>
      <c r="K930" s="12" t="s">
        <v>71</v>
      </c>
      <c r="L930">
        <f t="shared" si="71"/>
        <v>2</v>
      </c>
      <c r="M930">
        <f t="shared" ca="1" si="74"/>
        <v>234</v>
      </c>
      <c r="N930" s="15">
        <f t="shared" si="72"/>
        <v>12000</v>
      </c>
      <c r="O930" t="str">
        <f t="shared" ca="1" si="73"/>
        <v>90+ Days</v>
      </c>
    </row>
    <row r="931" spans="1:15" x14ac:dyDescent="0.3">
      <c r="A931" s="6" t="s">
        <v>1452</v>
      </c>
      <c r="B931" s="7" t="s">
        <v>277</v>
      </c>
      <c r="C931" s="6" t="s">
        <v>12</v>
      </c>
      <c r="D931" s="2" t="str">
        <f t="shared" si="70"/>
        <v>Mar</v>
      </c>
      <c r="E931" s="25" t="s">
        <v>1070</v>
      </c>
      <c r="F931" s="21" t="s">
        <v>232</v>
      </c>
      <c r="G931" s="21" t="s">
        <v>237</v>
      </c>
      <c r="H931" s="21" t="s">
        <v>219</v>
      </c>
      <c r="I931" s="8">
        <v>40000</v>
      </c>
      <c r="J931" s="8">
        <v>40000</v>
      </c>
      <c r="K931" s="5" t="s">
        <v>17</v>
      </c>
      <c r="L931">
        <f t="shared" si="71"/>
        <v>3</v>
      </c>
      <c r="M931">
        <f t="shared" ca="1" si="74"/>
        <v>27</v>
      </c>
      <c r="N931" s="15">
        <f t="shared" si="72"/>
        <v>0</v>
      </c>
      <c r="O931" t="str">
        <f t="shared" ca="1" si="73"/>
        <v>0-30 Days</v>
      </c>
    </row>
    <row r="932" spans="1:15" x14ac:dyDescent="0.3">
      <c r="A932" s="2" t="s">
        <v>1453</v>
      </c>
      <c r="B932" s="3" t="s">
        <v>84</v>
      </c>
      <c r="C932" s="2" t="s">
        <v>12</v>
      </c>
      <c r="D932" s="2" t="str">
        <f t="shared" si="70"/>
        <v>Feb</v>
      </c>
      <c r="E932" s="24" t="s">
        <v>79</v>
      </c>
      <c r="F932" s="20" t="s">
        <v>20</v>
      </c>
      <c r="G932" s="20" t="s">
        <v>298</v>
      </c>
      <c r="H932" s="20" t="s">
        <v>16</v>
      </c>
      <c r="I932" s="4">
        <v>45000</v>
      </c>
      <c r="J932" s="4">
        <v>45000</v>
      </c>
      <c r="K932" s="5" t="s">
        <v>17</v>
      </c>
      <c r="L932">
        <f t="shared" si="71"/>
        <v>1</v>
      </c>
      <c r="M932">
        <f t="shared" ca="1" si="74"/>
        <v>15</v>
      </c>
      <c r="N932" s="15">
        <f t="shared" si="72"/>
        <v>0</v>
      </c>
      <c r="O932" t="str">
        <f t="shared" ca="1" si="73"/>
        <v>0-30 Days</v>
      </c>
    </row>
    <row r="933" spans="1:15" x14ac:dyDescent="0.3">
      <c r="A933" s="6" t="s">
        <v>1454</v>
      </c>
      <c r="B933" s="7" t="s">
        <v>521</v>
      </c>
      <c r="C933" s="6" t="s">
        <v>33</v>
      </c>
      <c r="D933" s="2" t="str">
        <f t="shared" si="70"/>
        <v>Nov</v>
      </c>
      <c r="E933" s="25" t="s">
        <v>278</v>
      </c>
      <c r="F933" s="21" t="s">
        <v>260</v>
      </c>
      <c r="G933" s="21" t="s">
        <v>631</v>
      </c>
      <c r="H933" s="21" t="s">
        <v>281</v>
      </c>
      <c r="I933" s="8">
        <v>8000</v>
      </c>
      <c r="J933" s="8">
        <v>8000</v>
      </c>
      <c r="K933" s="5" t="s">
        <v>17</v>
      </c>
      <c r="L933">
        <f t="shared" si="71"/>
        <v>3</v>
      </c>
      <c r="M933">
        <f t="shared" ca="1" si="74"/>
        <v>25</v>
      </c>
      <c r="N933" s="15">
        <f t="shared" si="72"/>
        <v>0</v>
      </c>
      <c r="O933" t="str">
        <f t="shared" ca="1" si="73"/>
        <v>0-30 Days</v>
      </c>
    </row>
    <row r="934" spans="1:15" x14ac:dyDescent="0.3">
      <c r="A934" s="2" t="s">
        <v>1455</v>
      </c>
      <c r="B934" s="3" t="s">
        <v>572</v>
      </c>
      <c r="C934" s="2" t="s">
        <v>26</v>
      </c>
      <c r="D934" s="2" t="str">
        <f t="shared" si="70"/>
        <v>Feb</v>
      </c>
      <c r="E934" s="24" t="s">
        <v>29</v>
      </c>
      <c r="F934" s="20" t="s">
        <v>247</v>
      </c>
      <c r="G934" s="20" t="s">
        <v>725</v>
      </c>
      <c r="H934" s="20" t="s">
        <v>48</v>
      </c>
      <c r="I934" s="4">
        <v>35000</v>
      </c>
      <c r="J934" s="4">
        <v>8750</v>
      </c>
      <c r="K934" s="13" t="s">
        <v>113</v>
      </c>
      <c r="L934">
        <f t="shared" si="71"/>
        <v>1</v>
      </c>
      <c r="M934">
        <f t="shared" ca="1" si="74"/>
        <v>32</v>
      </c>
      <c r="N934" s="15">
        <f t="shared" si="72"/>
        <v>26250</v>
      </c>
      <c r="O934" t="str">
        <f t="shared" ca="1" si="73"/>
        <v>31-60 Days</v>
      </c>
    </row>
    <row r="935" spans="1:15" x14ac:dyDescent="0.3">
      <c r="A935" s="6" t="s">
        <v>1456</v>
      </c>
      <c r="B935" s="7" t="s">
        <v>268</v>
      </c>
      <c r="C935" s="6" t="s">
        <v>33</v>
      </c>
      <c r="D935" s="2" t="str">
        <f t="shared" si="70"/>
        <v>May</v>
      </c>
      <c r="E935" s="25" t="s">
        <v>1144</v>
      </c>
      <c r="F935" s="21" t="s">
        <v>187</v>
      </c>
      <c r="G935" s="21" t="s">
        <v>397</v>
      </c>
      <c r="H935" s="21" t="s">
        <v>425</v>
      </c>
      <c r="I935" s="8">
        <v>100000</v>
      </c>
      <c r="J935" s="8">
        <v>100000</v>
      </c>
      <c r="K935" s="5" t="s">
        <v>17</v>
      </c>
      <c r="L935">
        <f t="shared" si="71"/>
        <v>1</v>
      </c>
      <c r="M935">
        <f t="shared" ca="1" si="74"/>
        <v>6</v>
      </c>
      <c r="N935" s="15">
        <f t="shared" si="72"/>
        <v>0</v>
      </c>
      <c r="O935" t="str">
        <f t="shared" ca="1" si="73"/>
        <v>0-30 Days</v>
      </c>
    </row>
    <row r="936" spans="1:15" x14ac:dyDescent="0.3">
      <c r="A936" s="2" t="s">
        <v>1457</v>
      </c>
      <c r="B936" s="3" t="s">
        <v>651</v>
      </c>
      <c r="C936" s="2" t="s">
        <v>12</v>
      </c>
      <c r="D936" s="2" t="str">
        <f t="shared" si="70"/>
        <v>Jul</v>
      </c>
      <c r="E936" s="24" t="s">
        <v>345</v>
      </c>
      <c r="F936" s="20" t="s">
        <v>625</v>
      </c>
      <c r="G936" s="20" t="s">
        <v>626</v>
      </c>
      <c r="H936" s="20" t="s">
        <v>699</v>
      </c>
      <c r="I936" s="4">
        <v>45000</v>
      </c>
      <c r="J936" s="4">
        <v>45000</v>
      </c>
      <c r="K936" s="5" t="s">
        <v>17</v>
      </c>
      <c r="L936">
        <f t="shared" si="71"/>
        <v>2</v>
      </c>
      <c r="M936">
        <f t="shared" ca="1" si="74"/>
        <v>24</v>
      </c>
      <c r="N936" s="15">
        <f t="shared" si="72"/>
        <v>0</v>
      </c>
      <c r="O936" t="str">
        <f t="shared" ca="1" si="73"/>
        <v>0-30 Days</v>
      </c>
    </row>
    <row r="937" spans="1:15" x14ac:dyDescent="0.3">
      <c r="A937" s="6" t="s">
        <v>1458</v>
      </c>
      <c r="B937" s="7" t="s">
        <v>207</v>
      </c>
      <c r="C937" s="6" t="s">
        <v>12</v>
      </c>
      <c r="D937" s="2" t="str">
        <f t="shared" si="70"/>
        <v>Mar</v>
      </c>
      <c r="E937" s="25" t="s">
        <v>381</v>
      </c>
      <c r="F937" s="21" t="s">
        <v>382</v>
      </c>
      <c r="G937" s="21" t="s">
        <v>383</v>
      </c>
      <c r="H937" s="21" t="s">
        <v>467</v>
      </c>
      <c r="I937" s="8">
        <v>35000</v>
      </c>
      <c r="J937" s="8">
        <v>35000</v>
      </c>
      <c r="K937" s="5" t="s">
        <v>17</v>
      </c>
      <c r="L937">
        <f t="shared" si="71"/>
        <v>3</v>
      </c>
      <c r="M937">
        <f t="shared" ca="1" si="74"/>
        <v>11</v>
      </c>
      <c r="N937" s="15">
        <f t="shared" si="72"/>
        <v>0</v>
      </c>
      <c r="O937" t="str">
        <f t="shared" ca="1" si="73"/>
        <v>0-30 Days</v>
      </c>
    </row>
    <row r="938" spans="1:15" x14ac:dyDescent="0.3">
      <c r="A938" s="2" t="s">
        <v>1459</v>
      </c>
      <c r="B938" s="3" t="s">
        <v>277</v>
      </c>
      <c r="C938" s="2" t="s">
        <v>12</v>
      </c>
      <c r="D938" s="2" t="str">
        <f t="shared" si="70"/>
        <v>Sep</v>
      </c>
      <c r="E938" s="24" t="s">
        <v>599</v>
      </c>
      <c r="F938" s="20" t="s">
        <v>290</v>
      </c>
      <c r="G938" s="20" t="s">
        <v>327</v>
      </c>
      <c r="H938" s="20" t="s">
        <v>376</v>
      </c>
      <c r="I938" s="4">
        <v>30000</v>
      </c>
      <c r="J938" s="4">
        <v>30000</v>
      </c>
      <c r="K938" s="5" t="s">
        <v>17</v>
      </c>
      <c r="L938">
        <f t="shared" si="71"/>
        <v>2</v>
      </c>
      <c r="M938">
        <f t="shared" ca="1" si="74"/>
        <v>24</v>
      </c>
      <c r="N938" s="15">
        <f t="shared" si="72"/>
        <v>0</v>
      </c>
      <c r="O938" t="str">
        <f t="shared" ca="1" si="73"/>
        <v>0-30 Days</v>
      </c>
    </row>
    <row r="939" spans="1:15" x14ac:dyDescent="0.3">
      <c r="A939" s="6" t="s">
        <v>1460</v>
      </c>
      <c r="B939" s="7" t="s">
        <v>130</v>
      </c>
      <c r="C939" s="6" t="s">
        <v>12</v>
      </c>
      <c r="D939" s="2" t="str">
        <f t="shared" si="70"/>
        <v>Sep</v>
      </c>
      <c r="E939" s="25" t="s">
        <v>213</v>
      </c>
      <c r="F939" s="21" t="s">
        <v>290</v>
      </c>
      <c r="G939" s="21" t="s">
        <v>327</v>
      </c>
      <c r="H939" s="21" t="s">
        <v>373</v>
      </c>
      <c r="I939" s="8">
        <v>40000</v>
      </c>
      <c r="J939" s="8">
        <v>40000</v>
      </c>
      <c r="K939" s="9" t="s">
        <v>45</v>
      </c>
      <c r="L939">
        <f t="shared" si="71"/>
        <v>3</v>
      </c>
      <c r="M939">
        <f t="shared" ca="1" si="74"/>
        <v>52</v>
      </c>
      <c r="N939" s="15">
        <f t="shared" si="72"/>
        <v>0</v>
      </c>
      <c r="O939" t="str">
        <f t="shared" ca="1" si="73"/>
        <v>31-60 Days</v>
      </c>
    </row>
    <row r="940" spans="1:15" x14ac:dyDescent="0.3">
      <c r="A940" s="2" t="s">
        <v>1461</v>
      </c>
      <c r="B940" s="3" t="s">
        <v>25</v>
      </c>
      <c r="C940" s="2" t="s">
        <v>26</v>
      </c>
      <c r="D940" s="2" t="str">
        <f t="shared" si="70"/>
        <v>Jul</v>
      </c>
      <c r="E940" s="24" t="s">
        <v>44</v>
      </c>
      <c r="F940" s="20" t="s">
        <v>55</v>
      </c>
      <c r="G940" s="20" t="s">
        <v>56</v>
      </c>
      <c r="H940" s="20"/>
      <c r="I940" s="4">
        <v>5000</v>
      </c>
      <c r="J940" s="4">
        <v>0</v>
      </c>
      <c r="K940" s="11" t="s">
        <v>63</v>
      </c>
      <c r="L940">
        <f t="shared" si="71"/>
        <v>1</v>
      </c>
      <c r="M940">
        <f t="shared" ca="1" si="74"/>
        <v>346</v>
      </c>
      <c r="N940" s="15">
        <f t="shared" si="72"/>
        <v>5000</v>
      </c>
      <c r="O940" t="str">
        <f t="shared" ca="1" si="73"/>
        <v>90+ Days</v>
      </c>
    </row>
    <row r="941" spans="1:15" x14ac:dyDescent="0.3">
      <c r="A941" s="6" t="s">
        <v>1462</v>
      </c>
      <c r="B941" s="7" t="s">
        <v>492</v>
      </c>
      <c r="C941" s="6" t="s">
        <v>26</v>
      </c>
      <c r="D941" s="2" t="str">
        <f t="shared" si="70"/>
        <v>May</v>
      </c>
      <c r="E941" s="25" t="s">
        <v>425</v>
      </c>
      <c r="F941" s="21" t="s">
        <v>42</v>
      </c>
      <c r="G941" s="21" t="s">
        <v>43</v>
      </c>
      <c r="H941" s="21" t="s">
        <v>634</v>
      </c>
      <c r="I941" s="8">
        <v>100000</v>
      </c>
      <c r="J941" s="8">
        <v>100000</v>
      </c>
      <c r="K941" s="9" t="s">
        <v>45</v>
      </c>
      <c r="L941">
        <f t="shared" si="71"/>
        <v>2</v>
      </c>
      <c r="M941">
        <f t="shared" ca="1" si="74"/>
        <v>43</v>
      </c>
      <c r="N941" s="15">
        <f t="shared" si="72"/>
        <v>0</v>
      </c>
      <c r="O941" t="str">
        <f t="shared" ca="1" si="73"/>
        <v>31-60 Days</v>
      </c>
    </row>
    <row r="942" spans="1:15" x14ac:dyDescent="0.3">
      <c r="A942" s="2" t="s">
        <v>1463</v>
      </c>
      <c r="B942" s="3" t="s">
        <v>39</v>
      </c>
      <c r="C942" s="2" t="s">
        <v>40</v>
      </c>
      <c r="D942" s="2" t="str">
        <f t="shared" si="70"/>
        <v>Apr</v>
      </c>
      <c r="E942" s="24" t="s">
        <v>240</v>
      </c>
      <c r="F942" s="20" t="s">
        <v>977</v>
      </c>
      <c r="G942" s="20" t="s">
        <v>187</v>
      </c>
      <c r="H942" s="20"/>
      <c r="I942" s="4">
        <v>5000</v>
      </c>
      <c r="J942" s="4">
        <v>0</v>
      </c>
      <c r="K942" s="12" t="s">
        <v>71</v>
      </c>
      <c r="L942">
        <f t="shared" si="71"/>
        <v>3</v>
      </c>
      <c r="M942">
        <f t="shared" ca="1" si="74"/>
        <v>426</v>
      </c>
      <c r="N942" s="15">
        <f t="shared" si="72"/>
        <v>5000</v>
      </c>
      <c r="O942" t="str">
        <f t="shared" ca="1" si="73"/>
        <v>90+ Days</v>
      </c>
    </row>
    <row r="943" spans="1:15" x14ac:dyDescent="0.3">
      <c r="A943" s="6" t="s">
        <v>1464</v>
      </c>
      <c r="B943" s="7" t="s">
        <v>268</v>
      </c>
      <c r="C943" s="6" t="s">
        <v>33</v>
      </c>
      <c r="D943" s="2" t="str">
        <f t="shared" si="70"/>
        <v>Feb</v>
      </c>
      <c r="E943" s="25" t="s">
        <v>29</v>
      </c>
      <c r="F943" s="21" t="s">
        <v>265</v>
      </c>
      <c r="G943" s="21" t="s">
        <v>48</v>
      </c>
      <c r="H943" s="21"/>
      <c r="I943" s="8">
        <v>60000</v>
      </c>
      <c r="J943" s="8">
        <v>0</v>
      </c>
      <c r="K943" s="12" t="s">
        <v>71</v>
      </c>
      <c r="L943">
        <f t="shared" si="71"/>
        <v>3</v>
      </c>
      <c r="M943">
        <f t="shared" ca="1" si="74"/>
        <v>482</v>
      </c>
      <c r="N943" s="15">
        <f t="shared" si="72"/>
        <v>60000</v>
      </c>
      <c r="O943" t="str">
        <f t="shared" ca="1" si="73"/>
        <v>90+ Days</v>
      </c>
    </row>
    <row r="944" spans="1:15" x14ac:dyDescent="0.3">
      <c r="A944" s="2" t="s">
        <v>1465</v>
      </c>
      <c r="B944" s="3" t="s">
        <v>660</v>
      </c>
      <c r="C944" s="2" t="s">
        <v>12</v>
      </c>
      <c r="D944" s="2" t="str">
        <f t="shared" si="70"/>
        <v>Oct</v>
      </c>
      <c r="E944" s="24" t="s">
        <v>125</v>
      </c>
      <c r="F944" s="20" t="s">
        <v>126</v>
      </c>
      <c r="G944" s="20" t="s">
        <v>127</v>
      </c>
      <c r="H944" s="20"/>
      <c r="I944" s="4">
        <v>100000</v>
      </c>
      <c r="J944" s="4">
        <v>0</v>
      </c>
      <c r="K944" s="11" t="s">
        <v>63</v>
      </c>
      <c r="L944">
        <f t="shared" si="71"/>
        <v>2</v>
      </c>
      <c r="M944">
        <f t="shared" ca="1" si="74"/>
        <v>231</v>
      </c>
      <c r="N944" s="15">
        <f t="shared" si="72"/>
        <v>100000</v>
      </c>
      <c r="O944" t="str">
        <f t="shared" ca="1" si="73"/>
        <v>90+ Days</v>
      </c>
    </row>
    <row r="945" spans="1:15" x14ac:dyDescent="0.3">
      <c r="A945" s="6" t="s">
        <v>1466</v>
      </c>
      <c r="B945" s="7" t="s">
        <v>47</v>
      </c>
      <c r="C945" s="6" t="s">
        <v>40</v>
      </c>
      <c r="D945" s="2" t="str">
        <f t="shared" si="70"/>
        <v>Apr</v>
      </c>
      <c r="E945" s="25" t="s">
        <v>412</v>
      </c>
      <c r="F945" s="21" t="s">
        <v>209</v>
      </c>
      <c r="G945" s="21" t="s">
        <v>210</v>
      </c>
      <c r="H945" s="21" t="s">
        <v>187</v>
      </c>
      <c r="I945" s="8">
        <v>30000</v>
      </c>
      <c r="J945" s="8">
        <v>30000</v>
      </c>
      <c r="K945" s="5" t="s">
        <v>17</v>
      </c>
      <c r="L945">
        <f t="shared" si="71"/>
        <v>3</v>
      </c>
      <c r="M945">
        <f t="shared" ca="1" si="74"/>
        <v>17</v>
      </c>
      <c r="N945" s="15">
        <f t="shared" si="72"/>
        <v>0</v>
      </c>
      <c r="O945" t="str">
        <f t="shared" ca="1" si="73"/>
        <v>0-30 Days</v>
      </c>
    </row>
    <row r="946" spans="1:15" x14ac:dyDescent="0.3">
      <c r="A946" s="2" t="s">
        <v>1467</v>
      </c>
      <c r="B946" s="3" t="s">
        <v>402</v>
      </c>
      <c r="C946" s="2" t="s">
        <v>12</v>
      </c>
      <c r="D946" s="2" t="str">
        <f t="shared" si="70"/>
        <v>Jan</v>
      </c>
      <c r="E946" s="24" t="s">
        <v>1094</v>
      </c>
      <c r="F946" s="20" t="s">
        <v>1468</v>
      </c>
      <c r="G946" s="20" t="s">
        <v>200</v>
      </c>
      <c r="H946" s="20" t="s">
        <v>463</v>
      </c>
      <c r="I946" s="4">
        <v>25000</v>
      </c>
      <c r="J946" s="4">
        <v>25000</v>
      </c>
      <c r="K946" s="5" t="s">
        <v>17</v>
      </c>
      <c r="L946">
        <f t="shared" si="71"/>
        <v>2</v>
      </c>
      <c r="M946">
        <f t="shared" ca="1" si="74"/>
        <v>8</v>
      </c>
      <c r="N946" s="15">
        <f t="shared" si="72"/>
        <v>0</v>
      </c>
      <c r="O946" t="str">
        <f t="shared" ca="1" si="73"/>
        <v>0-30 Days</v>
      </c>
    </row>
    <row r="947" spans="1:15" x14ac:dyDescent="0.3">
      <c r="A947" s="6" t="s">
        <v>1469</v>
      </c>
      <c r="B947" s="7" t="s">
        <v>660</v>
      </c>
      <c r="C947" s="6" t="s">
        <v>12</v>
      </c>
      <c r="D947" s="2" t="str">
        <f t="shared" si="70"/>
        <v>Feb</v>
      </c>
      <c r="E947" s="25" t="s">
        <v>638</v>
      </c>
      <c r="F947" s="21" t="s">
        <v>30</v>
      </c>
      <c r="G947" s="21" t="s">
        <v>217</v>
      </c>
      <c r="H947" s="21" t="s">
        <v>248</v>
      </c>
      <c r="I947" s="8">
        <v>60000</v>
      </c>
      <c r="J947" s="8">
        <v>60000</v>
      </c>
      <c r="K947" s="5" t="s">
        <v>17</v>
      </c>
      <c r="L947">
        <f t="shared" si="71"/>
        <v>3</v>
      </c>
      <c r="M947">
        <f t="shared" ca="1" si="74"/>
        <v>8</v>
      </c>
      <c r="N947" s="15">
        <f t="shared" si="72"/>
        <v>0</v>
      </c>
      <c r="O947" t="str">
        <f t="shared" ca="1" si="73"/>
        <v>0-30 Days</v>
      </c>
    </row>
    <row r="948" spans="1:15" x14ac:dyDescent="0.3">
      <c r="A948" s="2" t="s">
        <v>1470</v>
      </c>
      <c r="B948" s="3" t="s">
        <v>130</v>
      </c>
      <c r="C948" s="2" t="s">
        <v>12</v>
      </c>
      <c r="D948" s="2" t="str">
        <f t="shared" si="70"/>
        <v>May</v>
      </c>
      <c r="E948" s="24" t="s">
        <v>367</v>
      </c>
      <c r="F948" s="20" t="s">
        <v>1144</v>
      </c>
      <c r="G948" s="20" t="s">
        <v>655</v>
      </c>
      <c r="H948" s="20" t="s">
        <v>387</v>
      </c>
      <c r="I948" s="4">
        <v>50000</v>
      </c>
      <c r="J948" s="4">
        <v>50000</v>
      </c>
      <c r="K948" s="9" t="s">
        <v>45</v>
      </c>
      <c r="L948">
        <f t="shared" si="71"/>
        <v>3</v>
      </c>
      <c r="M948">
        <f t="shared" ca="1" si="74"/>
        <v>43</v>
      </c>
      <c r="N948" s="15">
        <f t="shared" si="72"/>
        <v>0</v>
      </c>
      <c r="O948" t="str">
        <f t="shared" ca="1" si="73"/>
        <v>31-60 Days</v>
      </c>
    </row>
    <row r="949" spans="1:15" x14ac:dyDescent="0.3">
      <c r="A949" s="6" t="s">
        <v>1471</v>
      </c>
      <c r="B949" s="7" t="s">
        <v>494</v>
      </c>
      <c r="C949" s="6" t="s">
        <v>12</v>
      </c>
      <c r="D949" s="2" t="str">
        <f t="shared" si="70"/>
        <v>Sep</v>
      </c>
      <c r="E949" s="25" t="s">
        <v>670</v>
      </c>
      <c r="F949" s="21" t="s">
        <v>291</v>
      </c>
      <c r="G949" s="21" t="s">
        <v>647</v>
      </c>
      <c r="H949" s="21"/>
      <c r="I949" s="8">
        <v>75000</v>
      </c>
      <c r="J949" s="8">
        <v>0</v>
      </c>
      <c r="K949" s="11" t="s">
        <v>63</v>
      </c>
      <c r="L949">
        <f t="shared" si="71"/>
        <v>1</v>
      </c>
      <c r="M949">
        <f t="shared" ca="1" si="74"/>
        <v>283</v>
      </c>
      <c r="N949" s="15">
        <f t="shared" si="72"/>
        <v>75000</v>
      </c>
      <c r="O949" t="str">
        <f t="shared" ca="1" si="73"/>
        <v>90+ Days</v>
      </c>
    </row>
    <row r="950" spans="1:15" x14ac:dyDescent="0.3">
      <c r="A950" s="2" t="s">
        <v>1472</v>
      </c>
      <c r="B950" s="3" t="s">
        <v>716</v>
      </c>
      <c r="C950" s="2" t="s">
        <v>12</v>
      </c>
      <c r="D950" s="2" t="str">
        <f t="shared" si="70"/>
        <v>Dec</v>
      </c>
      <c r="E950" s="24" t="s">
        <v>145</v>
      </c>
      <c r="F950" s="20" t="s">
        <v>573</v>
      </c>
      <c r="G950" s="20" t="s">
        <v>192</v>
      </c>
      <c r="H950" s="20" t="s">
        <v>390</v>
      </c>
      <c r="I950" s="4">
        <v>5000</v>
      </c>
      <c r="J950" s="4">
        <v>5000</v>
      </c>
      <c r="K950" s="5" t="s">
        <v>17</v>
      </c>
      <c r="L950">
        <f t="shared" si="71"/>
        <v>2</v>
      </c>
      <c r="M950">
        <f t="shared" ca="1" si="74"/>
        <v>13</v>
      </c>
      <c r="N950" s="15">
        <f t="shared" si="72"/>
        <v>0</v>
      </c>
      <c r="O950" t="str">
        <f t="shared" ca="1" si="73"/>
        <v>0-30 Days</v>
      </c>
    </row>
    <row r="951" spans="1:15" x14ac:dyDescent="0.3">
      <c r="A951" s="6" t="s">
        <v>1473</v>
      </c>
      <c r="B951" s="7" t="s">
        <v>268</v>
      </c>
      <c r="C951" s="6" t="s">
        <v>33</v>
      </c>
      <c r="D951" s="2" t="str">
        <f t="shared" si="70"/>
        <v>Jul</v>
      </c>
      <c r="E951" s="25" t="s">
        <v>344</v>
      </c>
      <c r="F951" s="21" t="s">
        <v>625</v>
      </c>
      <c r="G951" s="21" t="s">
        <v>626</v>
      </c>
      <c r="H951" s="21" t="s">
        <v>96</v>
      </c>
      <c r="I951" s="8">
        <v>40000</v>
      </c>
      <c r="J951" s="8">
        <v>40000</v>
      </c>
      <c r="K951" s="9" t="s">
        <v>45</v>
      </c>
      <c r="L951">
        <f t="shared" si="71"/>
        <v>3</v>
      </c>
      <c r="M951">
        <f t="shared" ca="1" si="74"/>
        <v>38</v>
      </c>
      <c r="N951" s="15">
        <f t="shared" si="72"/>
        <v>0</v>
      </c>
      <c r="O951" t="str">
        <f t="shared" ca="1" si="73"/>
        <v>31-60 Days</v>
      </c>
    </row>
    <row r="952" spans="1:15" x14ac:dyDescent="0.3">
      <c r="A952" s="2" t="s">
        <v>1474</v>
      </c>
      <c r="B952" s="3" t="s">
        <v>431</v>
      </c>
      <c r="C952" s="2" t="s">
        <v>12</v>
      </c>
      <c r="D952" s="2" t="str">
        <f t="shared" si="70"/>
        <v>Jul</v>
      </c>
      <c r="E952" s="24" t="s">
        <v>337</v>
      </c>
      <c r="F952" s="20" t="s">
        <v>340</v>
      </c>
      <c r="G952" s="20" t="s">
        <v>341</v>
      </c>
      <c r="H952" s="20" t="s">
        <v>342</v>
      </c>
      <c r="I952" s="4">
        <v>45000</v>
      </c>
      <c r="J952" s="4">
        <v>45000</v>
      </c>
      <c r="K952" s="5" t="s">
        <v>17</v>
      </c>
      <c r="L952">
        <f t="shared" si="71"/>
        <v>2</v>
      </c>
      <c r="M952">
        <f t="shared" ca="1" si="74"/>
        <v>27</v>
      </c>
      <c r="N952" s="15">
        <f t="shared" si="72"/>
        <v>0</v>
      </c>
      <c r="O952" t="str">
        <f t="shared" ca="1" si="73"/>
        <v>0-30 Days</v>
      </c>
    </row>
    <row r="953" spans="1:15" x14ac:dyDescent="0.3">
      <c r="A953" s="6" t="s">
        <v>1475</v>
      </c>
      <c r="B953" s="7" t="s">
        <v>255</v>
      </c>
      <c r="C953" s="6" t="s">
        <v>26</v>
      </c>
      <c r="D953" s="2" t="str">
        <f t="shared" si="70"/>
        <v>May</v>
      </c>
      <c r="E953" s="25" t="s">
        <v>235</v>
      </c>
      <c r="F953" s="21" t="s">
        <v>559</v>
      </c>
      <c r="G953" s="21" t="s">
        <v>396</v>
      </c>
      <c r="H953" s="21" t="s">
        <v>154</v>
      </c>
      <c r="I953" s="8">
        <v>10000</v>
      </c>
      <c r="J953" s="8">
        <v>10000</v>
      </c>
      <c r="K953" s="5" t="s">
        <v>17</v>
      </c>
      <c r="L953">
        <f t="shared" si="71"/>
        <v>2</v>
      </c>
      <c r="M953">
        <f t="shared" ca="1" si="74"/>
        <v>28</v>
      </c>
      <c r="N953" s="15">
        <f t="shared" si="72"/>
        <v>0</v>
      </c>
      <c r="O953" t="str">
        <f t="shared" ca="1" si="73"/>
        <v>0-30 Days</v>
      </c>
    </row>
    <row r="954" spans="1:15" x14ac:dyDescent="0.3">
      <c r="A954" s="2" t="s">
        <v>1476</v>
      </c>
      <c r="B954" s="3" t="s">
        <v>500</v>
      </c>
      <c r="C954" s="2" t="s">
        <v>12</v>
      </c>
      <c r="D954" s="2" t="str">
        <f t="shared" si="70"/>
        <v>Feb</v>
      </c>
      <c r="E954" s="24" t="s">
        <v>649</v>
      </c>
      <c r="F954" s="20" t="s">
        <v>770</v>
      </c>
      <c r="G954" s="20" t="s">
        <v>771</v>
      </c>
      <c r="H954" s="20" t="s">
        <v>13</v>
      </c>
      <c r="I954" s="4">
        <v>25000</v>
      </c>
      <c r="J954" s="4">
        <v>25000</v>
      </c>
      <c r="K954" s="5" t="s">
        <v>17</v>
      </c>
      <c r="L954">
        <f t="shared" si="71"/>
        <v>3</v>
      </c>
      <c r="M954">
        <f t="shared" ca="1" si="74"/>
        <v>16</v>
      </c>
      <c r="N954" s="15">
        <f t="shared" si="72"/>
        <v>0</v>
      </c>
      <c r="O954" t="str">
        <f t="shared" ca="1" si="73"/>
        <v>0-30 Days</v>
      </c>
    </row>
    <row r="955" spans="1:15" x14ac:dyDescent="0.3">
      <c r="A955" s="6" t="s">
        <v>1477</v>
      </c>
      <c r="B955" s="7" t="s">
        <v>252</v>
      </c>
      <c r="C955" s="6" t="s">
        <v>12</v>
      </c>
      <c r="D955" s="2" t="str">
        <f t="shared" si="70"/>
        <v>Oct</v>
      </c>
      <c r="E955" s="25" t="s">
        <v>392</v>
      </c>
      <c r="F955" s="21" t="s">
        <v>307</v>
      </c>
      <c r="G955" s="21" t="s">
        <v>732</v>
      </c>
      <c r="H955" s="21"/>
      <c r="I955" s="8">
        <v>25000</v>
      </c>
      <c r="J955" s="8">
        <v>0</v>
      </c>
      <c r="K955" s="11" t="s">
        <v>63</v>
      </c>
      <c r="L955">
        <f t="shared" si="71"/>
        <v>2</v>
      </c>
      <c r="M955">
        <f t="shared" ca="1" si="74"/>
        <v>236</v>
      </c>
      <c r="N955" s="15">
        <f t="shared" si="72"/>
        <v>25000</v>
      </c>
      <c r="O955" t="str">
        <f t="shared" ca="1" si="73"/>
        <v>90+ Days</v>
      </c>
    </row>
    <row r="956" spans="1:15" x14ac:dyDescent="0.3">
      <c r="A956" s="2" t="s">
        <v>1478</v>
      </c>
      <c r="B956" s="3" t="s">
        <v>90</v>
      </c>
      <c r="C956" s="2" t="s">
        <v>12</v>
      </c>
      <c r="D956" s="2" t="str">
        <f t="shared" si="70"/>
        <v>Apr</v>
      </c>
      <c r="E956" s="24" t="s">
        <v>51</v>
      </c>
      <c r="F956" s="20" t="s">
        <v>403</v>
      </c>
      <c r="G956" s="20" t="s">
        <v>559</v>
      </c>
      <c r="H956" s="20" t="s">
        <v>435</v>
      </c>
      <c r="I956" s="4">
        <v>30000</v>
      </c>
      <c r="J956" s="4">
        <v>30000</v>
      </c>
      <c r="K956" s="5" t="s">
        <v>17</v>
      </c>
      <c r="L956">
        <f t="shared" si="71"/>
        <v>2</v>
      </c>
      <c r="M956">
        <f t="shared" ca="1" si="74"/>
        <v>12</v>
      </c>
      <c r="N956" s="15">
        <f t="shared" si="72"/>
        <v>0</v>
      </c>
      <c r="O956" t="str">
        <f t="shared" ca="1" si="73"/>
        <v>0-30 Days</v>
      </c>
    </row>
    <row r="957" spans="1:15" x14ac:dyDescent="0.3">
      <c r="A957" s="6" t="s">
        <v>1479</v>
      </c>
      <c r="B957" s="7" t="s">
        <v>255</v>
      </c>
      <c r="C957" s="6" t="s">
        <v>26</v>
      </c>
      <c r="D957" s="2" t="str">
        <f t="shared" si="70"/>
        <v>Apr</v>
      </c>
      <c r="E957" s="25" t="s">
        <v>977</v>
      </c>
      <c r="F957" s="21" t="s">
        <v>538</v>
      </c>
      <c r="G957" s="21" t="s">
        <v>151</v>
      </c>
      <c r="H957" s="21"/>
      <c r="I957" s="8">
        <v>30000</v>
      </c>
      <c r="J957" s="8">
        <v>0</v>
      </c>
      <c r="K957" s="10" t="s">
        <v>57</v>
      </c>
      <c r="L957">
        <f t="shared" si="71"/>
        <v>1</v>
      </c>
      <c r="M957">
        <f t="shared" ca="1" si="74"/>
        <v>425</v>
      </c>
      <c r="N957" s="15">
        <f t="shared" si="72"/>
        <v>30000</v>
      </c>
      <c r="O957" t="str">
        <f t="shared" ca="1" si="73"/>
        <v>90+ Days</v>
      </c>
    </row>
    <row r="958" spans="1:15" x14ac:dyDescent="0.3">
      <c r="A958" s="2" t="s">
        <v>1480</v>
      </c>
      <c r="B958" s="3" t="s">
        <v>68</v>
      </c>
      <c r="C958" s="2" t="s">
        <v>33</v>
      </c>
      <c r="D958" s="2" t="str">
        <f t="shared" si="70"/>
        <v>Jul</v>
      </c>
      <c r="E958" s="24" t="s">
        <v>354</v>
      </c>
      <c r="F958" s="20" t="s">
        <v>54</v>
      </c>
      <c r="G958" s="20" t="s">
        <v>340</v>
      </c>
      <c r="H958" s="20" t="s">
        <v>475</v>
      </c>
      <c r="I958" s="4">
        <v>15000</v>
      </c>
      <c r="J958" s="4">
        <v>15000</v>
      </c>
      <c r="K958" s="5" t="s">
        <v>17</v>
      </c>
      <c r="L958">
        <f t="shared" si="71"/>
        <v>1</v>
      </c>
      <c r="M958">
        <f t="shared" ca="1" si="74"/>
        <v>7</v>
      </c>
      <c r="N958" s="15">
        <f t="shared" si="72"/>
        <v>0</v>
      </c>
      <c r="O958" t="str">
        <f t="shared" ca="1" si="73"/>
        <v>0-30 Days</v>
      </c>
    </row>
    <row r="959" spans="1:15" x14ac:dyDescent="0.3">
      <c r="A959" s="6" t="s">
        <v>1481</v>
      </c>
      <c r="B959" s="7" t="s">
        <v>380</v>
      </c>
      <c r="C959" s="6" t="s">
        <v>12</v>
      </c>
      <c r="D959" s="2" t="str">
        <f t="shared" si="70"/>
        <v>Dec</v>
      </c>
      <c r="E959" s="25" t="s">
        <v>75</v>
      </c>
      <c r="F959" s="21" t="s">
        <v>509</v>
      </c>
      <c r="G959" s="21" t="s">
        <v>894</v>
      </c>
      <c r="H959" s="21"/>
      <c r="I959" s="8">
        <v>5000</v>
      </c>
      <c r="J959" s="8">
        <v>0</v>
      </c>
      <c r="K959" s="12" t="s">
        <v>71</v>
      </c>
      <c r="L959">
        <f t="shared" si="71"/>
        <v>2</v>
      </c>
      <c r="M959">
        <f t="shared" ca="1" si="74"/>
        <v>190</v>
      </c>
      <c r="N959" s="15">
        <f t="shared" si="72"/>
        <v>5000</v>
      </c>
      <c r="O959" t="str">
        <f t="shared" ca="1" si="73"/>
        <v>90+ Days</v>
      </c>
    </row>
    <row r="960" spans="1:15" x14ac:dyDescent="0.3">
      <c r="A960" s="2" t="s">
        <v>1482</v>
      </c>
      <c r="B960" s="3" t="s">
        <v>170</v>
      </c>
      <c r="C960" s="2" t="s">
        <v>12</v>
      </c>
      <c r="D960" s="2" t="str">
        <f t="shared" si="70"/>
        <v>Jan</v>
      </c>
      <c r="E960" s="24" t="s">
        <v>753</v>
      </c>
      <c r="F960" s="20" t="s">
        <v>754</v>
      </c>
      <c r="G960" s="20" t="s">
        <v>80</v>
      </c>
      <c r="H960" s="20" t="s">
        <v>82</v>
      </c>
      <c r="I960" s="4">
        <v>100000</v>
      </c>
      <c r="J960" s="4">
        <v>100000</v>
      </c>
      <c r="K960" s="9" t="s">
        <v>45</v>
      </c>
      <c r="L960">
        <f t="shared" si="71"/>
        <v>2</v>
      </c>
      <c r="M960">
        <f t="shared" ca="1" si="74"/>
        <v>46</v>
      </c>
      <c r="N960" s="15">
        <f t="shared" si="72"/>
        <v>0</v>
      </c>
      <c r="O960" t="str">
        <f t="shared" ca="1" si="73"/>
        <v>31-60 Days</v>
      </c>
    </row>
    <row r="961" spans="1:15" x14ac:dyDescent="0.3">
      <c r="A961" s="6" t="s">
        <v>1483</v>
      </c>
      <c r="B961" s="7" t="s">
        <v>402</v>
      </c>
      <c r="C961" s="6" t="s">
        <v>12</v>
      </c>
      <c r="D961" s="2" t="str">
        <f t="shared" si="70"/>
        <v>May</v>
      </c>
      <c r="E961" s="25" t="s">
        <v>224</v>
      </c>
      <c r="F961" s="21" t="s">
        <v>41</v>
      </c>
      <c r="G961" s="21" t="s">
        <v>879</v>
      </c>
      <c r="H961" s="21"/>
      <c r="I961" s="8">
        <v>25000</v>
      </c>
      <c r="J961" s="8">
        <v>0</v>
      </c>
      <c r="K961" s="11" t="s">
        <v>63</v>
      </c>
      <c r="L961">
        <f t="shared" si="71"/>
        <v>2</v>
      </c>
      <c r="M961">
        <f t="shared" ca="1" si="74"/>
        <v>389</v>
      </c>
      <c r="N961" s="15">
        <f t="shared" si="72"/>
        <v>25000</v>
      </c>
      <c r="O961" t="str">
        <f t="shared" ca="1" si="73"/>
        <v>90+ Days</v>
      </c>
    </row>
    <row r="962" spans="1:15" x14ac:dyDescent="0.3">
      <c r="A962" s="2" t="s">
        <v>1484</v>
      </c>
      <c r="B962" s="3" t="s">
        <v>130</v>
      </c>
      <c r="C962" s="2" t="s">
        <v>12</v>
      </c>
      <c r="D962" s="2" t="str">
        <f t="shared" si="70"/>
        <v>May</v>
      </c>
      <c r="E962" s="24" t="s">
        <v>42</v>
      </c>
      <c r="F962" s="20" t="s">
        <v>842</v>
      </c>
      <c r="G962" s="20" t="s">
        <v>310</v>
      </c>
      <c r="H962" s="20"/>
      <c r="I962" s="4">
        <v>40000</v>
      </c>
      <c r="J962" s="4">
        <v>0</v>
      </c>
      <c r="K962" s="12" t="s">
        <v>71</v>
      </c>
      <c r="L962">
        <f t="shared" si="71"/>
        <v>2</v>
      </c>
      <c r="M962">
        <f t="shared" ca="1" si="74"/>
        <v>386</v>
      </c>
      <c r="N962" s="15">
        <f t="shared" si="72"/>
        <v>40000</v>
      </c>
      <c r="O962" t="str">
        <f t="shared" ca="1" si="73"/>
        <v>90+ Days</v>
      </c>
    </row>
    <row r="963" spans="1:15" x14ac:dyDescent="0.3">
      <c r="A963" s="6" t="s">
        <v>1485</v>
      </c>
      <c r="B963" s="7" t="s">
        <v>285</v>
      </c>
      <c r="C963" s="6" t="s">
        <v>12</v>
      </c>
      <c r="D963" s="2" t="str">
        <f t="shared" ref="D963:D1001" si="75">MID(E963, 4, 3)</f>
        <v>Jan</v>
      </c>
      <c r="E963" s="25" t="s">
        <v>1215</v>
      </c>
      <c r="F963" s="21" t="s">
        <v>550</v>
      </c>
      <c r="G963" s="21" t="s">
        <v>1070</v>
      </c>
      <c r="H963" s="21" t="s">
        <v>20</v>
      </c>
      <c r="I963" s="8">
        <v>18000</v>
      </c>
      <c r="J963" s="8">
        <v>18000</v>
      </c>
      <c r="K963" s="5" t="s">
        <v>17</v>
      </c>
      <c r="L963">
        <f t="shared" ref="L963:L1001" si="76">F963-E963</f>
        <v>3</v>
      </c>
      <c r="M963">
        <f t="shared" ca="1" si="74"/>
        <v>22</v>
      </c>
      <c r="N963" s="15">
        <f t="shared" ref="N963:N1001" si="77">I963-J963</f>
        <v>0</v>
      </c>
      <c r="O963" t="str">
        <f t="shared" ref="O963:O1001" ca="1" si="78">IF(M963&lt;=30,"0-30 Days",
IF(M963&lt;=60,"31-60 Days",
IF(M963&lt;=90,"61-90 Days","90+ Days")))</f>
        <v>0-30 Days</v>
      </c>
    </row>
    <row r="964" spans="1:15" x14ac:dyDescent="0.3">
      <c r="A964" s="2" t="s">
        <v>1486</v>
      </c>
      <c r="B964" s="3" t="s">
        <v>25</v>
      </c>
      <c r="C964" s="2" t="s">
        <v>26</v>
      </c>
      <c r="D964" s="2" t="str">
        <f t="shared" si="75"/>
        <v>Sep</v>
      </c>
      <c r="E964" s="24" t="s">
        <v>117</v>
      </c>
      <c r="F964" s="20" t="s">
        <v>322</v>
      </c>
      <c r="G964" s="20" t="s">
        <v>623</v>
      </c>
      <c r="H964" s="20"/>
      <c r="I964" s="4">
        <v>12000</v>
      </c>
      <c r="J964" s="4">
        <v>0</v>
      </c>
      <c r="K964" s="10" t="s">
        <v>57</v>
      </c>
      <c r="L964">
        <f t="shared" si="76"/>
        <v>2</v>
      </c>
      <c r="M964">
        <f t="shared" ref="M964:M1001" ca="1" si="79">IF(H964="",TODAY()-F964,H964-F964)</f>
        <v>272</v>
      </c>
      <c r="N964" s="15">
        <f t="shared" si="77"/>
        <v>12000</v>
      </c>
      <c r="O964" t="str">
        <f t="shared" ca="1" si="78"/>
        <v>90+ Days</v>
      </c>
    </row>
    <row r="965" spans="1:15" x14ac:dyDescent="0.3">
      <c r="A965" s="6" t="s">
        <v>1487</v>
      </c>
      <c r="B965" s="7" t="s">
        <v>718</v>
      </c>
      <c r="C965" s="6" t="s">
        <v>12</v>
      </c>
      <c r="D965" s="2" t="str">
        <f t="shared" si="75"/>
        <v>Mar</v>
      </c>
      <c r="E965" s="25" t="s">
        <v>381</v>
      </c>
      <c r="F965" s="21" t="s">
        <v>161</v>
      </c>
      <c r="G965" s="21" t="s">
        <v>564</v>
      </c>
      <c r="H965" s="21" t="s">
        <v>151</v>
      </c>
      <c r="I965" s="8">
        <v>15000</v>
      </c>
      <c r="J965" s="8">
        <v>15000</v>
      </c>
      <c r="K965" s="9" t="s">
        <v>45</v>
      </c>
      <c r="L965">
        <f t="shared" si="76"/>
        <v>2</v>
      </c>
      <c r="M965">
        <f t="shared" ca="1" si="79"/>
        <v>45</v>
      </c>
      <c r="N965" s="15">
        <f t="shared" si="77"/>
        <v>0</v>
      </c>
      <c r="O965" t="str">
        <f t="shared" ca="1" si="78"/>
        <v>31-60 Days</v>
      </c>
    </row>
    <row r="966" spans="1:15" x14ac:dyDescent="0.3">
      <c r="A966" s="2" t="s">
        <v>1488</v>
      </c>
      <c r="B966" s="3" t="s">
        <v>431</v>
      </c>
      <c r="C966" s="2" t="s">
        <v>12</v>
      </c>
      <c r="D966" s="2" t="str">
        <f t="shared" si="75"/>
        <v>Dec</v>
      </c>
      <c r="E966" s="24" t="s">
        <v>98</v>
      </c>
      <c r="F966" s="20" t="s">
        <v>189</v>
      </c>
      <c r="G966" s="20" t="s">
        <v>825</v>
      </c>
      <c r="H966" s="20" t="s">
        <v>1152</v>
      </c>
      <c r="I966" s="4">
        <v>5000</v>
      </c>
      <c r="J966" s="4">
        <v>5000</v>
      </c>
      <c r="K966" s="9" t="s">
        <v>45</v>
      </c>
      <c r="L966">
        <f t="shared" si="76"/>
        <v>1</v>
      </c>
      <c r="M966">
        <f t="shared" ca="1" si="79"/>
        <v>43</v>
      </c>
      <c r="N966" s="15">
        <f t="shared" si="77"/>
        <v>0</v>
      </c>
      <c r="O966" t="str">
        <f t="shared" ca="1" si="78"/>
        <v>31-60 Days</v>
      </c>
    </row>
    <row r="967" spans="1:15" x14ac:dyDescent="0.3">
      <c r="A967" s="6" t="s">
        <v>1489</v>
      </c>
      <c r="B967" s="7" t="s">
        <v>325</v>
      </c>
      <c r="C967" s="6" t="s">
        <v>12</v>
      </c>
      <c r="D967" s="2" t="str">
        <f t="shared" si="75"/>
        <v>Feb</v>
      </c>
      <c r="E967" s="25" t="s">
        <v>79</v>
      </c>
      <c r="F967" s="21" t="s">
        <v>80</v>
      </c>
      <c r="G967" s="21" t="s">
        <v>81</v>
      </c>
      <c r="H967" s="21" t="s">
        <v>382</v>
      </c>
      <c r="I967" s="8">
        <v>100000</v>
      </c>
      <c r="J967" s="8">
        <v>100000</v>
      </c>
      <c r="K967" s="9" t="s">
        <v>45</v>
      </c>
      <c r="L967">
        <f t="shared" si="76"/>
        <v>2</v>
      </c>
      <c r="M967">
        <f t="shared" ca="1" si="79"/>
        <v>39</v>
      </c>
      <c r="N967" s="15">
        <f t="shared" si="77"/>
        <v>0</v>
      </c>
      <c r="O967" t="str">
        <f t="shared" ca="1" si="78"/>
        <v>31-60 Days</v>
      </c>
    </row>
    <row r="968" spans="1:15" x14ac:dyDescent="0.3">
      <c r="A968" s="2" t="s">
        <v>1490</v>
      </c>
      <c r="B968" s="3" t="s">
        <v>822</v>
      </c>
      <c r="C968" s="2" t="s">
        <v>26</v>
      </c>
      <c r="D968" s="2" t="str">
        <f t="shared" si="75"/>
        <v>Oct</v>
      </c>
      <c r="E968" s="24" t="s">
        <v>174</v>
      </c>
      <c r="F968" s="20" t="s">
        <v>244</v>
      </c>
      <c r="G968" s="20" t="s">
        <v>245</v>
      </c>
      <c r="H968" s="20" t="s">
        <v>557</v>
      </c>
      <c r="I968" s="4">
        <v>40000</v>
      </c>
      <c r="J968" s="4">
        <v>40000</v>
      </c>
      <c r="K968" s="5" t="s">
        <v>17</v>
      </c>
      <c r="L968">
        <f t="shared" si="76"/>
        <v>2</v>
      </c>
      <c r="M968">
        <f t="shared" ca="1" si="79"/>
        <v>24</v>
      </c>
      <c r="N968" s="15">
        <f t="shared" si="77"/>
        <v>0</v>
      </c>
      <c r="O968" t="str">
        <f t="shared" ca="1" si="78"/>
        <v>0-30 Days</v>
      </c>
    </row>
    <row r="969" spans="1:15" x14ac:dyDescent="0.3">
      <c r="A969" s="6" t="s">
        <v>1491</v>
      </c>
      <c r="B969" s="7" t="s">
        <v>500</v>
      </c>
      <c r="C969" s="6" t="s">
        <v>12</v>
      </c>
      <c r="D969" s="2" t="str">
        <f t="shared" si="75"/>
        <v>Jul</v>
      </c>
      <c r="E969" s="25" t="s">
        <v>348</v>
      </c>
      <c r="F969" s="21" t="s">
        <v>69</v>
      </c>
      <c r="G969" s="21" t="s">
        <v>70</v>
      </c>
      <c r="H969" s="21" t="s">
        <v>253</v>
      </c>
      <c r="I969" s="8">
        <v>35000</v>
      </c>
      <c r="J969" s="8">
        <v>35000</v>
      </c>
      <c r="K969" s="5" t="s">
        <v>17</v>
      </c>
      <c r="L969">
        <f t="shared" si="76"/>
        <v>1</v>
      </c>
      <c r="M969">
        <f t="shared" ca="1" si="79"/>
        <v>18</v>
      </c>
      <c r="N969" s="15">
        <f t="shared" si="77"/>
        <v>0</v>
      </c>
      <c r="O969" t="str">
        <f t="shared" ca="1" si="78"/>
        <v>0-30 Days</v>
      </c>
    </row>
    <row r="970" spans="1:15" x14ac:dyDescent="0.3">
      <c r="A970" s="2" t="s">
        <v>1492</v>
      </c>
      <c r="B970" s="3" t="s">
        <v>553</v>
      </c>
      <c r="C970" s="2" t="s">
        <v>12</v>
      </c>
      <c r="D970" s="2" t="str">
        <f t="shared" si="75"/>
        <v>Jul</v>
      </c>
      <c r="E970" s="24" t="s">
        <v>475</v>
      </c>
      <c r="F970" s="20" t="s">
        <v>747</v>
      </c>
      <c r="G970" s="20" t="s">
        <v>699</v>
      </c>
      <c r="H970" s="20" t="s">
        <v>765</v>
      </c>
      <c r="I970" s="4">
        <v>12000</v>
      </c>
      <c r="J970" s="4">
        <v>12000</v>
      </c>
      <c r="K970" s="5" t="s">
        <v>17</v>
      </c>
      <c r="L970">
        <f t="shared" si="76"/>
        <v>2</v>
      </c>
      <c r="M970">
        <f t="shared" ca="1" si="79"/>
        <v>10</v>
      </c>
      <c r="N970" s="15">
        <f t="shared" si="77"/>
        <v>0</v>
      </c>
      <c r="O970" t="str">
        <f t="shared" ca="1" si="78"/>
        <v>0-30 Days</v>
      </c>
    </row>
    <row r="971" spans="1:15" x14ac:dyDescent="0.3">
      <c r="A971" s="6" t="s">
        <v>1493</v>
      </c>
      <c r="B971" s="7" t="s">
        <v>402</v>
      </c>
      <c r="C971" s="6" t="s">
        <v>12</v>
      </c>
      <c r="D971" s="2" t="str">
        <f t="shared" si="75"/>
        <v>Mar</v>
      </c>
      <c r="E971" s="25" t="s">
        <v>16</v>
      </c>
      <c r="F971" s="21" t="s">
        <v>217</v>
      </c>
      <c r="G971" s="21" t="s">
        <v>218</v>
      </c>
      <c r="H971" s="21"/>
      <c r="I971" s="8">
        <v>40000</v>
      </c>
      <c r="J971" s="8">
        <v>0</v>
      </c>
      <c r="K971" s="10" t="s">
        <v>57</v>
      </c>
      <c r="L971">
        <f t="shared" si="76"/>
        <v>3</v>
      </c>
      <c r="M971">
        <f t="shared" ca="1" si="79"/>
        <v>461</v>
      </c>
      <c r="N971" s="15">
        <f t="shared" si="77"/>
        <v>40000</v>
      </c>
      <c r="O971" t="str">
        <f t="shared" ca="1" si="78"/>
        <v>90+ Days</v>
      </c>
    </row>
    <row r="972" spans="1:15" x14ac:dyDescent="0.3">
      <c r="A972" s="2" t="s">
        <v>1494</v>
      </c>
      <c r="B972" s="3" t="s">
        <v>651</v>
      </c>
      <c r="C972" s="2" t="s">
        <v>12</v>
      </c>
      <c r="D972" s="2" t="str">
        <f t="shared" si="75"/>
        <v>May</v>
      </c>
      <c r="E972" s="24" t="s">
        <v>110</v>
      </c>
      <c r="F972" s="20" t="s">
        <v>152</v>
      </c>
      <c r="G972" s="20" t="s">
        <v>153</v>
      </c>
      <c r="H972" s="20" t="s">
        <v>295</v>
      </c>
      <c r="I972" s="4">
        <v>55000</v>
      </c>
      <c r="J972" s="4">
        <v>55000</v>
      </c>
      <c r="K972" s="5" t="s">
        <v>17</v>
      </c>
      <c r="L972">
        <f t="shared" si="76"/>
        <v>1</v>
      </c>
      <c r="M972">
        <f t="shared" ca="1" si="79"/>
        <v>17</v>
      </c>
      <c r="N972" s="15">
        <f t="shared" si="77"/>
        <v>0</v>
      </c>
      <c r="O972" t="str">
        <f t="shared" ca="1" si="78"/>
        <v>0-30 Days</v>
      </c>
    </row>
    <row r="973" spans="1:15" x14ac:dyDescent="0.3">
      <c r="A973" s="6" t="s">
        <v>1495</v>
      </c>
      <c r="B973" s="7" t="s">
        <v>780</v>
      </c>
      <c r="C973" s="6" t="s">
        <v>26</v>
      </c>
      <c r="D973" s="2" t="str">
        <f t="shared" si="75"/>
        <v>Mar</v>
      </c>
      <c r="E973" s="25" t="s">
        <v>331</v>
      </c>
      <c r="F973" s="21" t="s">
        <v>725</v>
      </c>
      <c r="G973" s="21" t="s">
        <v>890</v>
      </c>
      <c r="H973" s="21" t="s">
        <v>298</v>
      </c>
      <c r="I973" s="8">
        <v>20000</v>
      </c>
      <c r="J973" s="8">
        <v>20000</v>
      </c>
      <c r="K973" s="5" t="s">
        <v>17</v>
      </c>
      <c r="L973">
        <f t="shared" si="76"/>
        <v>3</v>
      </c>
      <c r="M973">
        <f t="shared" ca="1" si="79"/>
        <v>5</v>
      </c>
      <c r="N973" s="15">
        <f t="shared" si="77"/>
        <v>0</v>
      </c>
      <c r="O973" t="str">
        <f t="shared" ca="1" si="78"/>
        <v>0-30 Days</v>
      </c>
    </row>
    <row r="974" spans="1:15" x14ac:dyDescent="0.3">
      <c r="A974" s="2" t="s">
        <v>1496</v>
      </c>
      <c r="B974" s="3" t="s">
        <v>336</v>
      </c>
      <c r="C974" s="2" t="s">
        <v>26</v>
      </c>
      <c r="D974" s="2" t="str">
        <f t="shared" si="75"/>
        <v>Aug</v>
      </c>
      <c r="E974" s="24" t="s">
        <v>56</v>
      </c>
      <c r="F974" s="20" t="s">
        <v>820</v>
      </c>
      <c r="G974" s="20" t="s">
        <v>670</v>
      </c>
      <c r="H974" s="20"/>
      <c r="I974" s="4">
        <v>20000</v>
      </c>
      <c r="J974" s="4">
        <v>0</v>
      </c>
      <c r="K974" s="11" t="s">
        <v>63</v>
      </c>
      <c r="L974">
        <f t="shared" si="76"/>
        <v>2</v>
      </c>
      <c r="M974">
        <f t="shared" ca="1" si="79"/>
        <v>314</v>
      </c>
      <c r="N974" s="15">
        <f t="shared" si="77"/>
        <v>20000</v>
      </c>
      <c r="O974" t="str">
        <f t="shared" ca="1" si="78"/>
        <v>90+ Days</v>
      </c>
    </row>
    <row r="975" spans="1:15" x14ac:dyDescent="0.3">
      <c r="A975" s="6" t="s">
        <v>1497</v>
      </c>
      <c r="B975" s="7" t="s">
        <v>529</v>
      </c>
      <c r="C975" s="6" t="s">
        <v>12</v>
      </c>
      <c r="D975" s="2" t="str">
        <f t="shared" si="75"/>
        <v>Sep</v>
      </c>
      <c r="E975" s="25" t="s">
        <v>213</v>
      </c>
      <c r="F975" s="21" t="s">
        <v>290</v>
      </c>
      <c r="G975" s="21" t="s">
        <v>327</v>
      </c>
      <c r="H975" s="21"/>
      <c r="I975" s="8">
        <v>75000</v>
      </c>
      <c r="J975" s="8">
        <v>0</v>
      </c>
      <c r="K975" s="12" t="s">
        <v>71</v>
      </c>
      <c r="L975">
        <f t="shared" si="76"/>
        <v>3</v>
      </c>
      <c r="M975">
        <f t="shared" ca="1" si="79"/>
        <v>264</v>
      </c>
      <c r="N975" s="15">
        <f t="shared" si="77"/>
        <v>75000</v>
      </c>
      <c r="O975" t="str">
        <f t="shared" ca="1" si="78"/>
        <v>90+ Days</v>
      </c>
    </row>
    <row r="976" spans="1:15" x14ac:dyDescent="0.3">
      <c r="A976" s="2" t="s">
        <v>1498</v>
      </c>
      <c r="B976" s="3" t="s">
        <v>165</v>
      </c>
      <c r="C976" s="2" t="s">
        <v>26</v>
      </c>
      <c r="D976" s="2" t="str">
        <f t="shared" si="75"/>
        <v>May</v>
      </c>
      <c r="E976" s="24" t="s">
        <v>223</v>
      </c>
      <c r="F976" s="20" t="s">
        <v>367</v>
      </c>
      <c r="G976" s="20" t="s">
        <v>368</v>
      </c>
      <c r="H976" s="20" t="s">
        <v>177</v>
      </c>
      <c r="I976" s="4">
        <v>8000</v>
      </c>
      <c r="J976" s="4">
        <v>8000</v>
      </c>
      <c r="K976" s="5" t="s">
        <v>17</v>
      </c>
      <c r="L976">
        <f t="shared" si="76"/>
        <v>3</v>
      </c>
      <c r="M976">
        <f t="shared" ca="1" si="79"/>
        <v>27</v>
      </c>
      <c r="N976" s="15">
        <f t="shared" si="77"/>
        <v>0</v>
      </c>
      <c r="O976" t="str">
        <f t="shared" ca="1" si="78"/>
        <v>0-30 Days</v>
      </c>
    </row>
    <row r="977" spans="1:15" x14ac:dyDescent="0.3">
      <c r="A977" s="6" t="s">
        <v>1499</v>
      </c>
      <c r="B977" s="7" t="s">
        <v>84</v>
      </c>
      <c r="C977" s="6" t="s">
        <v>12</v>
      </c>
      <c r="D977" s="2" t="str">
        <f t="shared" si="75"/>
        <v>Jan</v>
      </c>
      <c r="E977" s="25" t="s">
        <v>550</v>
      </c>
      <c r="F977" s="21" t="s">
        <v>230</v>
      </c>
      <c r="G977" s="21" t="s">
        <v>470</v>
      </c>
      <c r="H977" s="21" t="s">
        <v>503</v>
      </c>
      <c r="I977" s="8">
        <v>50000</v>
      </c>
      <c r="J977" s="8">
        <v>50000</v>
      </c>
      <c r="K977" s="5" t="s">
        <v>17</v>
      </c>
      <c r="L977">
        <f t="shared" si="76"/>
        <v>1</v>
      </c>
      <c r="M977">
        <f t="shared" ca="1" si="79"/>
        <v>25</v>
      </c>
      <c r="N977" s="15">
        <f t="shared" si="77"/>
        <v>0</v>
      </c>
      <c r="O977" t="str">
        <f t="shared" ca="1" si="78"/>
        <v>0-30 Days</v>
      </c>
    </row>
    <row r="978" spans="1:15" x14ac:dyDescent="0.3">
      <c r="A978" s="2" t="s">
        <v>1500</v>
      </c>
      <c r="B978" s="3" t="s">
        <v>53</v>
      </c>
      <c r="C978" s="2" t="s">
        <v>40</v>
      </c>
      <c r="D978" s="2" t="str">
        <f t="shared" si="75"/>
        <v>Aug</v>
      </c>
      <c r="E978" s="24" t="s">
        <v>534</v>
      </c>
      <c r="F978" s="20" t="s">
        <v>157</v>
      </c>
      <c r="G978" s="20" t="s">
        <v>158</v>
      </c>
      <c r="H978" s="20" t="s">
        <v>617</v>
      </c>
      <c r="I978" s="4">
        <v>75000</v>
      </c>
      <c r="J978" s="4">
        <v>75000</v>
      </c>
      <c r="K978" s="5" t="s">
        <v>17</v>
      </c>
      <c r="L978">
        <f t="shared" si="76"/>
        <v>3</v>
      </c>
      <c r="M978">
        <f t="shared" ca="1" si="79"/>
        <v>16</v>
      </c>
      <c r="N978" s="15">
        <f t="shared" si="77"/>
        <v>0</v>
      </c>
      <c r="O978" t="str">
        <f t="shared" ca="1" si="78"/>
        <v>0-30 Days</v>
      </c>
    </row>
    <row r="979" spans="1:15" x14ac:dyDescent="0.3">
      <c r="A979" s="6" t="s">
        <v>1501</v>
      </c>
      <c r="B979" s="7" t="s">
        <v>660</v>
      </c>
      <c r="C979" s="6" t="s">
        <v>12</v>
      </c>
      <c r="D979" s="2" t="str">
        <f t="shared" si="75"/>
        <v>Oct</v>
      </c>
      <c r="E979" s="25" t="s">
        <v>694</v>
      </c>
      <c r="F979" s="21" t="s">
        <v>34</v>
      </c>
      <c r="G979" s="21" t="s">
        <v>260</v>
      </c>
      <c r="H979" s="21" t="s">
        <v>307</v>
      </c>
      <c r="I979" s="8">
        <v>100000</v>
      </c>
      <c r="J979" s="8">
        <v>100000</v>
      </c>
      <c r="K979" s="5" t="s">
        <v>17</v>
      </c>
      <c r="L979">
        <f t="shared" si="76"/>
        <v>2</v>
      </c>
      <c r="M979">
        <f t="shared" ca="1" si="79"/>
        <v>8</v>
      </c>
      <c r="N979" s="15">
        <f t="shared" si="77"/>
        <v>0</v>
      </c>
      <c r="O979" t="str">
        <f t="shared" ca="1" si="78"/>
        <v>0-30 Days</v>
      </c>
    </row>
    <row r="980" spans="1:15" x14ac:dyDescent="0.3">
      <c r="A980" s="2" t="s">
        <v>1502</v>
      </c>
      <c r="B980" s="3" t="s">
        <v>347</v>
      </c>
      <c r="C980" s="2" t="s">
        <v>12</v>
      </c>
      <c r="D980" s="2" t="str">
        <f t="shared" si="75"/>
        <v>Dec</v>
      </c>
      <c r="E980" s="24" t="s">
        <v>631</v>
      </c>
      <c r="F980" s="20" t="s">
        <v>573</v>
      </c>
      <c r="G980" s="20" t="s">
        <v>192</v>
      </c>
      <c r="H980" s="20" t="s">
        <v>1503</v>
      </c>
      <c r="I980" s="4">
        <v>30000</v>
      </c>
      <c r="J980" s="4">
        <v>30000</v>
      </c>
      <c r="K980" s="9" t="s">
        <v>45</v>
      </c>
      <c r="L980">
        <f t="shared" si="76"/>
        <v>3</v>
      </c>
      <c r="M980">
        <f t="shared" ca="1" si="79"/>
        <v>51</v>
      </c>
      <c r="N980" s="15">
        <f t="shared" si="77"/>
        <v>0</v>
      </c>
      <c r="O980" t="str">
        <f t="shared" ca="1" si="78"/>
        <v>31-60 Days</v>
      </c>
    </row>
    <row r="981" spans="1:15" x14ac:dyDescent="0.3">
      <c r="A981" s="6" t="s">
        <v>1504</v>
      </c>
      <c r="B981" s="7" t="s">
        <v>115</v>
      </c>
      <c r="C981" s="6" t="s">
        <v>12</v>
      </c>
      <c r="D981" s="2" t="str">
        <f t="shared" si="75"/>
        <v>Oct</v>
      </c>
      <c r="E981" s="25" t="s">
        <v>597</v>
      </c>
      <c r="F981" s="21" t="s">
        <v>400</v>
      </c>
      <c r="G981" s="21" t="s">
        <v>557</v>
      </c>
      <c r="H981" s="21" t="s">
        <v>173</v>
      </c>
      <c r="I981" s="8">
        <v>60000</v>
      </c>
      <c r="J981" s="8">
        <v>60000</v>
      </c>
      <c r="K981" s="5" t="s">
        <v>17</v>
      </c>
      <c r="L981">
        <f t="shared" si="76"/>
        <v>1</v>
      </c>
      <c r="M981">
        <f t="shared" ca="1" si="79"/>
        <v>26</v>
      </c>
      <c r="N981" s="15">
        <f t="shared" si="77"/>
        <v>0</v>
      </c>
      <c r="O981" t="str">
        <f t="shared" ca="1" si="78"/>
        <v>0-30 Days</v>
      </c>
    </row>
    <row r="982" spans="1:15" x14ac:dyDescent="0.3">
      <c r="A982" s="2" t="s">
        <v>1505</v>
      </c>
      <c r="B982" s="3" t="s">
        <v>130</v>
      </c>
      <c r="C982" s="2" t="s">
        <v>12</v>
      </c>
      <c r="D982" s="2" t="str">
        <f t="shared" si="75"/>
        <v>Sep</v>
      </c>
      <c r="E982" s="24" t="s">
        <v>617</v>
      </c>
      <c r="F982" s="20" t="s">
        <v>131</v>
      </c>
      <c r="G982" s="20" t="s">
        <v>244</v>
      </c>
      <c r="H982" s="20" t="s">
        <v>243</v>
      </c>
      <c r="I982" s="4">
        <v>22000</v>
      </c>
      <c r="J982" s="4">
        <v>16500</v>
      </c>
      <c r="K982" s="13" t="s">
        <v>113</v>
      </c>
      <c r="L982">
        <f t="shared" si="76"/>
        <v>3</v>
      </c>
      <c r="M982">
        <f t="shared" ca="1" si="79"/>
        <v>29</v>
      </c>
      <c r="N982" s="15">
        <f t="shared" si="77"/>
        <v>5500</v>
      </c>
      <c r="O982" t="str">
        <f t="shared" ca="1" si="78"/>
        <v>0-30 Days</v>
      </c>
    </row>
    <row r="983" spans="1:15" x14ac:dyDescent="0.3">
      <c r="A983" s="6" t="s">
        <v>1506</v>
      </c>
      <c r="B983" s="7" t="s">
        <v>297</v>
      </c>
      <c r="C983" s="6" t="s">
        <v>26</v>
      </c>
      <c r="D983" s="2" t="str">
        <f t="shared" si="75"/>
        <v>Aug</v>
      </c>
      <c r="E983" s="25" t="s">
        <v>289</v>
      </c>
      <c r="F983" s="21" t="s">
        <v>342</v>
      </c>
      <c r="G983" s="21" t="s">
        <v>629</v>
      </c>
      <c r="H983" s="21"/>
      <c r="I983" s="8">
        <v>20000</v>
      </c>
      <c r="J983" s="8">
        <v>0</v>
      </c>
      <c r="K983" s="10" t="s">
        <v>57</v>
      </c>
      <c r="L983">
        <f t="shared" si="76"/>
        <v>3</v>
      </c>
      <c r="M983">
        <f t="shared" ca="1" si="79"/>
        <v>291</v>
      </c>
      <c r="N983" s="15">
        <f t="shared" si="77"/>
        <v>20000</v>
      </c>
      <c r="O983" t="str">
        <f t="shared" ca="1" si="78"/>
        <v>90+ Days</v>
      </c>
    </row>
    <row r="984" spans="1:15" x14ac:dyDescent="0.3">
      <c r="A984" s="2" t="s">
        <v>1507</v>
      </c>
      <c r="B984" s="3" t="s">
        <v>11</v>
      </c>
      <c r="C984" s="2" t="s">
        <v>12</v>
      </c>
      <c r="D984" s="2" t="str">
        <f t="shared" si="75"/>
        <v>Jun</v>
      </c>
      <c r="E984" s="24" t="s">
        <v>879</v>
      </c>
      <c r="F984" s="20" t="s">
        <v>427</v>
      </c>
      <c r="G984" s="20" t="s">
        <v>355</v>
      </c>
      <c r="H984" s="20"/>
      <c r="I984" s="4">
        <v>12000</v>
      </c>
      <c r="J984" s="4">
        <v>0</v>
      </c>
      <c r="K984" s="10" t="s">
        <v>57</v>
      </c>
      <c r="L984">
        <f t="shared" si="76"/>
        <v>2</v>
      </c>
      <c r="M984">
        <f t="shared" ca="1" si="79"/>
        <v>357</v>
      </c>
      <c r="N984" s="15">
        <f t="shared" si="77"/>
        <v>12000</v>
      </c>
      <c r="O984" t="str">
        <f t="shared" ca="1" si="78"/>
        <v>90+ Days</v>
      </c>
    </row>
    <row r="985" spans="1:15" x14ac:dyDescent="0.3">
      <c r="A985" s="6" t="s">
        <v>1508</v>
      </c>
      <c r="B985" s="7" t="s">
        <v>212</v>
      </c>
      <c r="C985" s="6" t="s">
        <v>12</v>
      </c>
      <c r="D985" s="2" t="str">
        <f t="shared" si="75"/>
        <v>Feb</v>
      </c>
      <c r="E985" s="25" t="s">
        <v>30</v>
      </c>
      <c r="F985" s="21" t="s">
        <v>770</v>
      </c>
      <c r="G985" s="21" t="s">
        <v>771</v>
      </c>
      <c r="H985" s="21" t="s">
        <v>503</v>
      </c>
      <c r="I985" s="8">
        <v>75000</v>
      </c>
      <c r="J985" s="8">
        <v>75000</v>
      </c>
      <c r="K985" s="5" t="s">
        <v>17</v>
      </c>
      <c r="L985">
        <f t="shared" si="76"/>
        <v>1</v>
      </c>
      <c r="M985">
        <f t="shared" ca="1" si="79"/>
        <v>15</v>
      </c>
      <c r="N985" s="15">
        <f t="shared" si="77"/>
        <v>0</v>
      </c>
      <c r="O985" t="str">
        <f t="shared" ca="1" si="78"/>
        <v>0-30 Days</v>
      </c>
    </row>
    <row r="986" spans="1:15" x14ac:dyDescent="0.3">
      <c r="A986" s="2" t="s">
        <v>1509</v>
      </c>
      <c r="B986" s="3" t="s">
        <v>115</v>
      </c>
      <c r="C986" s="2" t="s">
        <v>12</v>
      </c>
      <c r="D986" s="2" t="str">
        <f t="shared" si="75"/>
        <v>May</v>
      </c>
      <c r="E986" s="24" t="s">
        <v>522</v>
      </c>
      <c r="F986" s="20" t="s">
        <v>517</v>
      </c>
      <c r="G986" s="20" t="s">
        <v>354</v>
      </c>
      <c r="H986" s="20">
        <v>45853</v>
      </c>
      <c r="I986" s="4">
        <v>50000</v>
      </c>
      <c r="J986" s="4">
        <v>50000</v>
      </c>
      <c r="K986" s="9" t="s">
        <v>45</v>
      </c>
      <c r="L986">
        <f t="shared" si="76"/>
        <v>3</v>
      </c>
      <c r="M986">
        <f t="shared" ca="1" si="79"/>
        <v>43</v>
      </c>
      <c r="N986" s="15">
        <f t="shared" si="77"/>
        <v>0</v>
      </c>
      <c r="O986" t="str">
        <f t="shared" ca="1" si="78"/>
        <v>31-60 Days</v>
      </c>
    </row>
    <row r="987" spans="1:15" x14ac:dyDescent="0.3">
      <c r="A987" s="6" t="s">
        <v>1510</v>
      </c>
      <c r="B987" s="7" t="s">
        <v>512</v>
      </c>
      <c r="C987" s="6" t="s">
        <v>12</v>
      </c>
      <c r="D987" s="2" t="str">
        <f t="shared" si="75"/>
        <v>Aug</v>
      </c>
      <c r="E987" s="25" t="s">
        <v>555</v>
      </c>
      <c r="F987" s="21" t="s">
        <v>321</v>
      </c>
      <c r="G987" s="21" t="s">
        <v>322</v>
      </c>
      <c r="H987" s="21"/>
      <c r="I987" s="8">
        <v>45000</v>
      </c>
      <c r="J987" s="8">
        <v>0</v>
      </c>
      <c r="K987" s="11" t="s">
        <v>63</v>
      </c>
      <c r="L987">
        <f t="shared" si="76"/>
        <v>2</v>
      </c>
      <c r="M987">
        <f t="shared" ca="1" si="79"/>
        <v>302</v>
      </c>
      <c r="N987" s="15">
        <f t="shared" si="77"/>
        <v>45000</v>
      </c>
      <c r="O987" t="str">
        <f t="shared" ca="1" si="78"/>
        <v>90+ Days</v>
      </c>
    </row>
    <row r="988" spans="1:15" x14ac:dyDescent="0.3">
      <c r="A988" s="2" t="s">
        <v>1511</v>
      </c>
      <c r="B988" s="3" t="s">
        <v>221</v>
      </c>
      <c r="C988" s="2" t="s">
        <v>12</v>
      </c>
      <c r="D988" s="2" t="str">
        <f t="shared" si="75"/>
        <v>Mar</v>
      </c>
      <c r="E988" s="24" t="s">
        <v>22</v>
      </c>
      <c r="F988" s="20" t="s">
        <v>451</v>
      </c>
      <c r="G988" s="20" t="s">
        <v>452</v>
      </c>
      <c r="H988" s="20" t="s">
        <v>222</v>
      </c>
      <c r="I988" s="4">
        <v>5000</v>
      </c>
      <c r="J988" s="4">
        <v>5000</v>
      </c>
      <c r="K988" s="5" t="s">
        <v>17</v>
      </c>
      <c r="L988">
        <f t="shared" si="76"/>
        <v>1</v>
      </c>
      <c r="M988">
        <f t="shared" ca="1" si="79"/>
        <v>12</v>
      </c>
      <c r="N988" s="15">
        <f t="shared" si="77"/>
        <v>0</v>
      </c>
      <c r="O988" t="str">
        <f t="shared" ca="1" si="78"/>
        <v>0-30 Days</v>
      </c>
    </row>
    <row r="989" spans="1:15" x14ac:dyDescent="0.3">
      <c r="A989" s="6" t="s">
        <v>1512</v>
      </c>
      <c r="B989" s="7" t="s">
        <v>277</v>
      </c>
      <c r="C989" s="6" t="s">
        <v>12</v>
      </c>
      <c r="D989" s="2" t="str">
        <f t="shared" si="75"/>
        <v>May</v>
      </c>
      <c r="E989" s="25" t="s">
        <v>223</v>
      </c>
      <c r="F989" s="21" t="s">
        <v>367</v>
      </c>
      <c r="G989" s="21" t="s">
        <v>368</v>
      </c>
      <c r="H989" s="21" t="s">
        <v>210</v>
      </c>
      <c r="I989" s="8">
        <v>10000</v>
      </c>
      <c r="J989" s="8">
        <v>10000</v>
      </c>
      <c r="K989" s="5" t="s">
        <v>17</v>
      </c>
      <c r="L989">
        <f t="shared" si="76"/>
        <v>3</v>
      </c>
      <c r="M989">
        <f t="shared" ca="1" si="79"/>
        <v>17</v>
      </c>
      <c r="N989" s="15">
        <f t="shared" si="77"/>
        <v>0</v>
      </c>
      <c r="O989" t="str">
        <f t="shared" ca="1" si="78"/>
        <v>0-30 Days</v>
      </c>
    </row>
    <row r="990" spans="1:15" x14ac:dyDescent="0.3">
      <c r="A990" s="2" t="s">
        <v>1513</v>
      </c>
      <c r="B990" s="3" t="s">
        <v>234</v>
      </c>
      <c r="C990" s="2" t="s">
        <v>40</v>
      </c>
      <c r="D990" s="2" t="str">
        <f t="shared" si="75"/>
        <v>Feb</v>
      </c>
      <c r="E990" s="24" t="s">
        <v>248</v>
      </c>
      <c r="F990" s="20" t="s">
        <v>265</v>
      </c>
      <c r="G990" s="20" t="s">
        <v>48</v>
      </c>
      <c r="H990" s="20" t="s">
        <v>606</v>
      </c>
      <c r="I990" s="4">
        <v>35000</v>
      </c>
      <c r="J990" s="4">
        <v>35000</v>
      </c>
      <c r="K990" s="5" t="s">
        <v>17</v>
      </c>
      <c r="L990">
        <f t="shared" si="76"/>
        <v>1</v>
      </c>
      <c r="M990">
        <f t="shared" ca="1" si="79"/>
        <v>5</v>
      </c>
      <c r="N990" s="15">
        <f t="shared" si="77"/>
        <v>0</v>
      </c>
      <c r="O990" t="str">
        <f t="shared" ca="1" si="78"/>
        <v>0-30 Days</v>
      </c>
    </row>
    <row r="991" spans="1:15" x14ac:dyDescent="0.3">
      <c r="A991" s="6" t="s">
        <v>1514</v>
      </c>
      <c r="B991" s="7" t="s">
        <v>103</v>
      </c>
      <c r="C991" s="6" t="s">
        <v>12</v>
      </c>
      <c r="D991" s="2" t="str">
        <f t="shared" si="75"/>
        <v>Jul</v>
      </c>
      <c r="E991" s="25" t="s">
        <v>991</v>
      </c>
      <c r="F991" s="21" t="s">
        <v>253</v>
      </c>
      <c r="G991" s="21" t="s">
        <v>96</v>
      </c>
      <c r="H991" s="21" t="s">
        <v>534</v>
      </c>
      <c r="I991" s="8">
        <v>10000</v>
      </c>
      <c r="J991" s="8">
        <v>10000</v>
      </c>
      <c r="K991" s="5" t="s">
        <v>17</v>
      </c>
      <c r="L991">
        <f t="shared" si="76"/>
        <v>3</v>
      </c>
      <c r="M991">
        <f t="shared" ca="1" si="79"/>
        <v>24</v>
      </c>
      <c r="N991" s="15">
        <f t="shared" si="77"/>
        <v>0</v>
      </c>
      <c r="O991" t="str">
        <f t="shared" ca="1" si="78"/>
        <v>0-30 Days</v>
      </c>
    </row>
    <row r="992" spans="1:15" x14ac:dyDescent="0.3">
      <c r="A992" s="2" t="s">
        <v>1515</v>
      </c>
      <c r="B992" s="3" t="s">
        <v>135</v>
      </c>
      <c r="C992" s="2" t="s">
        <v>33</v>
      </c>
      <c r="D992" s="2" t="str">
        <f t="shared" si="75"/>
        <v>Feb</v>
      </c>
      <c r="E992" s="24" t="s">
        <v>66</v>
      </c>
      <c r="F992" s="20" t="s">
        <v>29</v>
      </c>
      <c r="G992" s="20" t="s">
        <v>181</v>
      </c>
      <c r="H992" s="20" t="s">
        <v>14</v>
      </c>
      <c r="I992" s="4">
        <v>12000</v>
      </c>
      <c r="J992" s="4">
        <v>12000</v>
      </c>
      <c r="K992" s="5" t="s">
        <v>17</v>
      </c>
      <c r="L992">
        <f t="shared" si="76"/>
        <v>3</v>
      </c>
      <c r="M992">
        <f t="shared" ca="1" si="79"/>
        <v>12</v>
      </c>
      <c r="N992" s="15">
        <f t="shared" si="77"/>
        <v>0</v>
      </c>
      <c r="O992" t="str">
        <f t="shared" ca="1" si="78"/>
        <v>0-30 Days</v>
      </c>
    </row>
    <row r="993" spans="1:15" x14ac:dyDescent="0.3">
      <c r="A993" s="6" t="s">
        <v>1516</v>
      </c>
      <c r="B993" s="7" t="s">
        <v>19</v>
      </c>
      <c r="C993" s="6" t="s">
        <v>12</v>
      </c>
      <c r="D993" s="2" t="str">
        <f t="shared" si="75"/>
        <v>May</v>
      </c>
      <c r="E993" s="25" t="s">
        <v>842</v>
      </c>
      <c r="F993" s="21" t="s">
        <v>386</v>
      </c>
      <c r="G993" s="21" t="s">
        <v>387</v>
      </c>
      <c r="H993" s="21" t="s">
        <v>154</v>
      </c>
      <c r="I993" s="8">
        <v>20000</v>
      </c>
      <c r="J993" s="8">
        <v>20000</v>
      </c>
      <c r="K993" s="5" t="s">
        <v>17</v>
      </c>
      <c r="L993">
        <f t="shared" si="76"/>
        <v>2</v>
      </c>
      <c r="M993">
        <f t="shared" ca="1" si="79"/>
        <v>10</v>
      </c>
      <c r="N993" s="15">
        <f t="shared" si="77"/>
        <v>0</v>
      </c>
      <c r="O993" t="str">
        <f t="shared" ca="1" si="78"/>
        <v>0-30 Days</v>
      </c>
    </row>
    <row r="994" spans="1:15" x14ac:dyDescent="0.3">
      <c r="A994" s="2" t="s">
        <v>1517</v>
      </c>
      <c r="B994" s="3" t="s">
        <v>32</v>
      </c>
      <c r="C994" s="2" t="s">
        <v>33</v>
      </c>
      <c r="D994" s="2" t="str">
        <f t="shared" si="75"/>
        <v>Jan</v>
      </c>
      <c r="E994" s="24" t="s">
        <v>952</v>
      </c>
      <c r="F994" s="20" t="s">
        <v>329</v>
      </c>
      <c r="G994" s="20" t="s">
        <v>314</v>
      </c>
      <c r="H994" s="20"/>
      <c r="I994" s="4">
        <v>100000</v>
      </c>
      <c r="J994" s="4">
        <v>0</v>
      </c>
      <c r="K994" s="10" t="s">
        <v>57</v>
      </c>
      <c r="L994">
        <f t="shared" si="76"/>
        <v>3</v>
      </c>
      <c r="M994">
        <f t="shared" ca="1" si="79"/>
        <v>511</v>
      </c>
      <c r="N994" s="15">
        <f t="shared" si="77"/>
        <v>100000</v>
      </c>
      <c r="O994" t="str">
        <f t="shared" ca="1" si="78"/>
        <v>90+ Days</v>
      </c>
    </row>
    <row r="995" spans="1:15" x14ac:dyDescent="0.3">
      <c r="A995" s="6" t="s">
        <v>1518</v>
      </c>
      <c r="B995" s="7" t="s">
        <v>497</v>
      </c>
      <c r="C995" s="6" t="s">
        <v>33</v>
      </c>
      <c r="D995" s="2" t="str">
        <f t="shared" si="75"/>
        <v>Sep</v>
      </c>
      <c r="E995" s="25" t="s">
        <v>341</v>
      </c>
      <c r="F995" s="21" t="s">
        <v>542</v>
      </c>
      <c r="G995" s="21" t="s">
        <v>597</v>
      </c>
      <c r="H995" s="21" t="s">
        <v>694</v>
      </c>
      <c r="I995" s="8">
        <v>55000</v>
      </c>
      <c r="J995" s="8">
        <v>27500</v>
      </c>
      <c r="K995" s="13" t="s">
        <v>113</v>
      </c>
      <c r="L995">
        <f t="shared" si="76"/>
        <v>2</v>
      </c>
      <c r="M995">
        <f t="shared" ca="1" si="79"/>
        <v>40</v>
      </c>
      <c r="N995" s="15">
        <f t="shared" si="77"/>
        <v>27500</v>
      </c>
      <c r="O995" t="str">
        <f t="shared" ca="1" si="78"/>
        <v>31-60 Days</v>
      </c>
    </row>
    <row r="996" spans="1:15" x14ac:dyDescent="0.3">
      <c r="A996" s="2" t="s">
        <v>1519</v>
      </c>
      <c r="B996" s="3" t="s">
        <v>457</v>
      </c>
      <c r="C996" s="2" t="s">
        <v>40</v>
      </c>
      <c r="D996" s="2" t="str">
        <f t="shared" si="75"/>
        <v>Dec</v>
      </c>
      <c r="E996" s="24" t="s">
        <v>579</v>
      </c>
      <c r="F996" s="20" t="s">
        <v>167</v>
      </c>
      <c r="G996" s="20" t="s">
        <v>664</v>
      </c>
      <c r="H996" s="20" t="s">
        <v>929</v>
      </c>
      <c r="I996" s="4">
        <v>25000</v>
      </c>
      <c r="J996" s="4">
        <v>25000</v>
      </c>
      <c r="K996" s="9" t="s">
        <v>45</v>
      </c>
      <c r="L996">
        <f t="shared" si="76"/>
        <v>3</v>
      </c>
      <c r="M996">
        <f t="shared" ca="1" si="79"/>
        <v>45</v>
      </c>
      <c r="N996" s="15">
        <f t="shared" si="77"/>
        <v>0</v>
      </c>
      <c r="O996" t="str">
        <f t="shared" ca="1" si="78"/>
        <v>31-60 Days</v>
      </c>
    </row>
    <row r="997" spans="1:15" x14ac:dyDescent="0.3">
      <c r="A997" s="6" t="s">
        <v>1520</v>
      </c>
      <c r="B997" s="7" t="s">
        <v>529</v>
      </c>
      <c r="C997" s="6" t="s">
        <v>12</v>
      </c>
      <c r="D997" s="2" t="str">
        <f t="shared" si="75"/>
        <v>Nov</v>
      </c>
      <c r="E997" s="25" t="s">
        <v>732</v>
      </c>
      <c r="F997" s="21" t="s">
        <v>271</v>
      </c>
      <c r="G997" s="21" t="s">
        <v>663</v>
      </c>
      <c r="H997" s="21" t="s">
        <v>189</v>
      </c>
      <c r="I997" s="8">
        <v>18000</v>
      </c>
      <c r="J997" s="8">
        <v>18000</v>
      </c>
      <c r="K997" s="5" t="s">
        <v>17</v>
      </c>
      <c r="L997">
        <f t="shared" si="76"/>
        <v>3</v>
      </c>
      <c r="M997">
        <f t="shared" ca="1" si="79"/>
        <v>25</v>
      </c>
      <c r="N997" s="15">
        <f t="shared" si="77"/>
        <v>0</v>
      </c>
      <c r="O997" t="str">
        <f t="shared" ca="1" si="78"/>
        <v>0-30 Days</v>
      </c>
    </row>
    <row r="998" spans="1:15" x14ac:dyDescent="0.3">
      <c r="A998" s="2" t="s">
        <v>1521</v>
      </c>
      <c r="B998" s="3" t="s">
        <v>454</v>
      </c>
      <c r="C998" s="2" t="s">
        <v>12</v>
      </c>
      <c r="D998" s="2" t="str">
        <f t="shared" si="75"/>
        <v>Jun</v>
      </c>
      <c r="E998" s="24" t="s">
        <v>177</v>
      </c>
      <c r="F998" s="20" t="s">
        <v>474</v>
      </c>
      <c r="G998" s="20" t="s">
        <v>475</v>
      </c>
      <c r="H998" s="20" t="s">
        <v>661</v>
      </c>
      <c r="I998" s="4">
        <v>35000</v>
      </c>
      <c r="J998" s="4">
        <v>35000</v>
      </c>
      <c r="K998" s="5" t="s">
        <v>17</v>
      </c>
      <c r="L998">
        <f t="shared" si="76"/>
        <v>2</v>
      </c>
      <c r="M998">
        <f t="shared" ca="1" si="79"/>
        <v>7</v>
      </c>
      <c r="N998" s="15">
        <f t="shared" si="77"/>
        <v>0</v>
      </c>
      <c r="O998" t="str">
        <f t="shared" ca="1" si="78"/>
        <v>0-30 Days</v>
      </c>
    </row>
    <row r="999" spans="1:15" x14ac:dyDescent="0.3">
      <c r="A999" s="6" t="s">
        <v>1522</v>
      </c>
      <c r="B999" s="7" t="s">
        <v>242</v>
      </c>
      <c r="C999" s="6" t="s">
        <v>12</v>
      </c>
      <c r="D999" s="2" t="str">
        <f t="shared" si="75"/>
        <v>Jun</v>
      </c>
      <c r="E999" s="25" t="s">
        <v>154</v>
      </c>
      <c r="F999" s="21" t="s">
        <v>396</v>
      </c>
      <c r="G999" s="21" t="s">
        <v>85</v>
      </c>
      <c r="H999" s="21" t="s">
        <v>43</v>
      </c>
      <c r="I999" s="8">
        <v>18000</v>
      </c>
      <c r="J999" s="8">
        <v>18000</v>
      </c>
      <c r="K999" s="5" t="s">
        <v>17</v>
      </c>
      <c r="L999">
        <f t="shared" si="76"/>
        <v>2</v>
      </c>
      <c r="M999">
        <f t="shared" ca="1" si="79"/>
        <v>14</v>
      </c>
      <c r="N999" s="15">
        <f t="shared" si="77"/>
        <v>0</v>
      </c>
      <c r="O999" t="str">
        <f t="shared" ca="1" si="78"/>
        <v>0-30 Days</v>
      </c>
    </row>
    <row r="1000" spans="1:15" x14ac:dyDescent="0.3">
      <c r="A1000" s="2" t="s">
        <v>1523</v>
      </c>
      <c r="B1000" s="3" t="s">
        <v>144</v>
      </c>
      <c r="C1000" s="2" t="s">
        <v>12</v>
      </c>
      <c r="D1000" s="2" t="str">
        <f t="shared" si="75"/>
        <v>Jan</v>
      </c>
      <c r="E1000" s="24" t="s">
        <v>1093</v>
      </c>
      <c r="F1000" s="20" t="s">
        <v>317</v>
      </c>
      <c r="G1000" s="20" t="s">
        <v>231</v>
      </c>
      <c r="H1000" s="20" t="s">
        <v>754</v>
      </c>
      <c r="I1000" s="4">
        <v>20000</v>
      </c>
      <c r="J1000" s="4">
        <v>20000</v>
      </c>
      <c r="K1000" s="5" t="s">
        <v>17</v>
      </c>
      <c r="L1000">
        <f t="shared" si="76"/>
        <v>3</v>
      </c>
      <c r="M1000">
        <f t="shared" ca="1" si="79"/>
        <v>20</v>
      </c>
      <c r="N1000" s="15">
        <f t="shared" si="77"/>
        <v>0</v>
      </c>
      <c r="O1000" t="str">
        <f t="shared" ca="1" si="78"/>
        <v>0-30 Days</v>
      </c>
    </row>
    <row r="1001" spans="1:15" x14ac:dyDescent="0.3">
      <c r="A1001" s="6" t="s">
        <v>1524</v>
      </c>
      <c r="B1001" s="7" t="s">
        <v>454</v>
      </c>
      <c r="C1001" s="6" t="s">
        <v>12</v>
      </c>
      <c r="D1001" s="2" t="str">
        <f t="shared" si="75"/>
        <v>Jan</v>
      </c>
      <c r="E1001" s="25" t="s">
        <v>1468</v>
      </c>
      <c r="F1001" s="21" t="s">
        <v>919</v>
      </c>
      <c r="G1001" s="21" t="s">
        <v>638</v>
      </c>
      <c r="H1001" s="21"/>
      <c r="I1001" s="8">
        <v>35000</v>
      </c>
      <c r="J1001" s="8">
        <v>0</v>
      </c>
      <c r="K1001" s="11" t="s">
        <v>63</v>
      </c>
      <c r="L1001">
        <f t="shared" si="76"/>
        <v>3</v>
      </c>
      <c r="M1001">
        <f t="shared" ca="1" si="79"/>
        <v>524</v>
      </c>
      <c r="N1001" s="15">
        <f t="shared" si="77"/>
        <v>35000</v>
      </c>
      <c r="O1001" t="str">
        <f t="shared" ca="1" si="78"/>
        <v>90+ Days</v>
      </c>
    </row>
  </sheetData>
  <autoFilter ref="A1:K1001" xr:uid="{00000000-0009-0000-0000-000000000000}"/>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254A6-AFE0-451C-84C9-B4A55A688C6F}">
  <dimension ref="B1:Y2"/>
  <sheetViews>
    <sheetView zoomScale="42" workbookViewId="0">
      <selection activeCell="K9" sqref="K9"/>
    </sheetView>
  </sheetViews>
  <sheetFormatPr defaultRowHeight="14.4" x14ac:dyDescent="0.3"/>
  <sheetData>
    <row r="1" spans="2:25" x14ac:dyDescent="0.3">
      <c r="B1" s="29" t="s">
        <v>1529</v>
      </c>
      <c r="C1" s="28"/>
      <c r="D1" s="28"/>
      <c r="E1" s="28"/>
      <c r="G1" s="29" t="s">
        <v>1530</v>
      </c>
      <c r="H1" s="28"/>
      <c r="I1" s="28"/>
      <c r="J1" s="28"/>
      <c r="L1" s="29" t="s">
        <v>1548</v>
      </c>
      <c r="M1" s="28"/>
      <c r="N1" s="28"/>
      <c r="O1" s="28"/>
      <c r="Q1" s="29" t="s">
        <v>1549</v>
      </c>
      <c r="R1" s="28"/>
      <c r="S1" s="28"/>
      <c r="T1" s="28"/>
      <c r="V1" s="29" t="s">
        <v>1550</v>
      </c>
      <c r="W1" s="28"/>
      <c r="X1" s="28"/>
      <c r="Y1" s="28"/>
    </row>
    <row r="2" spans="2:25" x14ac:dyDescent="0.3">
      <c r="B2" s="28"/>
      <c r="C2" s="28"/>
      <c r="D2" s="28"/>
      <c r="E2" s="28"/>
      <c r="G2" s="28"/>
      <c r="H2" s="28"/>
      <c r="I2" s="28"/>
      <c r="J2" s="28"/>
      <c r="L2" s="28"/>
      <c r="M2" s="28"/>
      <c r="N2" s="28"/>
      <c r="O2" s="28"/>
      <c r="Q2" s="28"/>
      <c r="R2" s="28"/>
      <c r="S2" s="28"/>
      <c r="T2" s="28"/>
      <c r="V2" s="28"/>
      <c r="W2" s="28"/>
      <c r="X2" s="28"/>
      <c r="Y2" s="28"/>
    </row>
  </sheetData>
  <mergeCells count="5">
    <mergeCell ref="B1:E2"/>
    <mergeCell ref="G1:J2"/>
    <mergeCell ref="L1:O2"/>
    <mergeCell ref="Q1:T2"/>
    <mergeCell ref="V1:Y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D7923-E1B6-49C6-80D4-FDBAF903C12A}">
  <dimension ref="B3:H4"/>
  <sheetViews>
    <sheetView tabSelected="1" workbookViewId="0">
      <selection activeCell="F14" sqref="F14"/>
    </sheetView>
  </sheetViews>
  <sheetFormatPr defaultRowHeight="14.4" x14ac:dyDescent="0.3"/>
  <cols>
    <col min="2" max="2" width="14.88671875" customWidth="1"/>
    <col min="3" max="3" width="16.6640625" customWidth="1"/>
    <col min="4" max="4" width="20.5546875" customWidth="1"/>
    <col min="5" max="5" width="21.6640625" customWidth="1"/>
    <col min="6" max="6" width="17.88671875" customWidth="1"/>
    <col min="7" max="7" width="23" customWidth="1"/>
    <col min="8" max="8" width="27.33203125" customWidth="1"/>
  </cols>
  <sheetData>
    <row r="3" spans="2:8" x14ac:dyDescent="0.3">
      <c r="B3" t="s">
        <v>1529</v>
      </c>
      <c r="C3" t="s">
        <v>1530</v>
      </c>
      <c r="D3" t="s">
        <v>1527</v>
      </c>
      <c r="E3" t="s">
        <v>1531</v>
      </c>
      <c r="F3" t="s">
        <v>1532</v>
      </c>
      <c r="G3" t="s">
        <v>1533</v>
      </c>
      <c r="H3" t="s">
        <v>1534</v>
      </c>
    </row>
    <row r="4" spans="2:8" x14ac:dyDescent="0.3">
      <c r="B4" s="15">
        <f>SUM(O2C_Data!I215:I1001)</f>
        <v>27933000</v>
      </c>
      <c r="C4" s="15">
        <f>SUM(O2C_Data!J2:J1001)</f>
        <v>24331750</v>
      </c>
      <c r="D4" s="15">
        <f>SUM(O2C_Data!N2:N1001)</f>
        <v>11033250</v>
      </c>
      <c r="E4" s="16">
        <f>C4/B4</f>
        <v>0.87107543049439728</v>
      </c>
      <c r="F4" s="16">
        <f ca="1">COUNTIF(O2C_Data!K2:K1001,"Paid")/COUNTA(O2C_Data!2:1001)</f>
        <v>3.5241393359136279E-2</v>
      </c>
      <c r="G4">
        <f ca="1">AVERAGE(O2C_Data!M2:M1001)</f>
        <v>109.95699999999999</v>
      </c>
      <c r="H4">
        <f>(D4/B4)*365</f>
        <v>144.17127591021372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O2C_Data</vt:lpstr>
      <vt:lpstr>Dashboard</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gundla chanakya</cp:lastModifiedBy>
  <cp:lastPrinted>2026-06-15T12:01:40Z</cp:lastPrinted>
  <dcterms:created xsi:type="dcterms:W3CDTF">2026-06-15T11:00:28Z</dcterms:created>
  <dcterms:modified xsi:type="dcterms:W3CDTF">2026-06-16T10:36:18Z</dcterms:modified>
</cp:coreProperties>
</file>